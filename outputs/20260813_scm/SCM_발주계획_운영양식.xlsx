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1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9a1c02248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0c1e18e2721c4768"/>
    <x:sheet xmlns:r="http://schemas.openxmlformats.org/officeDocument/2006/relationships" name="Input_OL" sheetId="2" r:id="R78f2172f51b84d91"/>
    <x:sheet xmlns:r="http://schemas.openxmlformats.org/officeDocument/2006/relationships" name="Input_SFDC" sheetId="3" r:id="Re70c8e00527b40f2"/>
    <x:sheet xmlns:r="http://schemas.openxmlformats.org/officeDocument/2006/relationships" name="Input_Inventory" sheetId="4" r:id="R386152a2f823469e"/>
    <x:sheet xmlns:r="http://schemas.openxmlformats.org/officeDocument/2006/relationships" name="Master_BOM" sheetId="5" r:id="Rd48e80c72e6c41f0"/>
    <x:sheet xmlns:r="http://schemas.openxmlformats.org/officeDocument/2006/relationships" name="Master_Rules" sheetId="6" r:id="Rf6b20ffb689346a8"/>
    <x:sheet xmlns:r="http://schemas.openxmlformats.org/officeDocument/2006/relationships" name="Master_Supplier" sheetId="7" r:id="Rcf5f2d4bb9fb480e"/>
    <x:sheet xmlns:r="http://schemas.openxmlformats.org/officeDocument/2006/relationships" name="Master_Policy" sheetId="8" r:id="R91ade9e3cde2485a"/>
    <x:sheet xmlns:r="http://schemas.openxmlformats.org/officeDocument/2006/relationships" name="Master_Approval" sheetId="9" r:id="Rf21d8f570c2f4708"/>
    <x:sheet xmlns:r="http://schemas.openxmlformats.org/officeDocument/2006/relationships" name="FXLIVE_Map" sheetId="10" r:id="Rff343f6851104c93"/>
    <x:sheet xmlns:r="http://schemas.openxmlformats.org/officeDocument/2006/relationships" name="Input_Implementation" sheetId="11" r:id="Rb7b7c70c533b414e"/>
    <x:sheet xmlns:r="http://schemas.openxmlformats.org/officeDocument/2006/relationships" name="Calc_Device" sheetId="12" r:id="Ra7a7addbf6dd40cb"/>
    <x:sheet xmlns:r="http://schemas.openxmlformats.org/officeDocument/2006/relationships" name="Calc_Option" sheetId="13" r:id="Rcc7d1fcb0a424696"/>
    <x:sheet xmlns:r="http://schemas.openxmlformats.org/officeDocument/2006/relationships" name="Report_Approval" sheetId="14" r:id="R7a1188658f6649d1"/>
    <x:sheet xmlns:r="http://schemas.openxmlformats.org/officeDocument/2006/relationships" name="Inbound_PO" sheetId="15" r:id="R60e48bc7d4af47e5"/>
    <x:sheet xmlns:r="http://schemas.openxmlformats.org/officeDocument/2006/relationships" name="Dashboard" sheetId="16" r:id="Rfec577c31be44700"/>
  </x:sheets>
</x:workbook>
</file>

<file path=xl/comments1.xml><?xml version="1.0" encoding="utf-8"?>
<x:comments xmlns:x="http://schemas.openxmlformats.org/spreadsheetml/2006/main">
  <x:authors>
    <x:author>tc={A3CF1BB8-47F4-4E53-3557-B22E593FA902}</x:author>
    <x:author>tc={5B327658-384A-786D-1A4E-297560590373}</x:author>
  </x:authors>
  <x:commentList>
    <x:comment ref="L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Flexibility Rule 기본값: 전월 OL 대비 ±20%. 실제 Supplier별 계약 기준이 있으면 기준정보를 수정하십시오.</x:t>
        </x:r>
      </x:text>
    </x:comment>
    <x:comment ref="M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Flexibility Rule 기본값: 전전월 OL 대비 ±30%. 실제 Supplier별 계약 기준이 있으면 기준정보를 수정하십시오.</x:t>
        </x:r>
      </x:text>
    </x:comment>
  </x:commentList>
</x:comments>
</file>

<file path=xl/comments2.xml><?xml version="1.0" encoding="utf-8"?>
<x:comments xmlns:x="http://schemas.openxmlformats.org/spreadsheetml/2006/main">
  <x:authors>
    <x:author>tc={7DF3AB0A-1CA6-E3FE-D6E4-B99E54A25D71}</x:author>
  </x:authors>
  <x:commentList>
    <x:comment ref="J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기본 필요량 = 확정 수요 - 가용재고. 필요 시 안전재고, 이월수요, Bulk Deal 확보수량을 별도 열로 확장하십시오.</x:t>
        </x:r>
      </x:text>
    </x:comment>
  </x:commentList>
</x:comments>
</file>

<file path=xl/comments3.xml><?xml version="1.0" encoding="utf-8"?>
<x:comments xmlns:x="http://schemas.openxmlformats.org/spreadsheetml/2006/main">
  <x:authors>
    <x:author>tc={DD7D940C-CCB1-C145-F249-FE5A1D1206D4}</x:author>
  </x:authors>
  <x:commentList>
    <x:comment ref="L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필수품은 장착율을 적용하지 않고 BOM 기준으로 계산하며, 선택품은 장착율을 적용합니다.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%"/>
    <x:numFmt numFmtId="202" formatCode="yyyy-mm-dd"/>
    <x:numFmt numFmtId="203" formatCode="#,##0.0"/>
    <x:numFmt numFmtId="204" formatCode="0.0%"/>
    <x:numFmt numFmtId="205" formatCode="@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17365D"/>
      <x:name val="Aptos"/>
    </x:font>
    <x:font>
      <x:b/>
      <x:sz val="16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DF2"/>
      </x:patternFill>
    </x:fill>
    <x:fill>
      <x:patternFill patternType="solid">
        <x:fgColor rgb="FFEAF3F8"/>
      </x:patternFill>
    </x:fill>
  </x:fills>
  <x:borders count="8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medium">
        <x:color rgb="FF17365D"/>
      </x:left>
      <x:top style="medium">
        <x:color rgb="FF17365D"/>
      </x:top>
    </x:border>
    <x:border>
      <x:top style="medium">
        <x:color rgb="FF17365D"/>
      </x:top>
    </x:border>
    <x:border>
      <x:right style="medium">
        <x:color rgb="FF17365D"/>
      </x:right>
      <x:top style="medium">
        <x:color rgb="FF17365D"/>
      </x:top>
    </x:border>
    <x:border>
      <x:left style="medium">
        <x:color rgb="FF17365D"/>
      </x:left>
      <x:bottom style="medium">
        <x:color rgb="FF17365D"/>
      </x:bottom>
    </x:border>
    <x:border>
      <x:bottom style="medium">
        <x:color rgb="FF17365D"/>
      </x:bottom>
    </x:border>
    <x:border>
      <x:right style="medium">
        <x:color rgb="FF17365D"/>
      </x:right>
      <x:bottom style="medium">
        <x:color rgb="FF17365D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201" fontId="0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vertical="center"/>
    </x:xf>
    <x:xf numFmtId="200" fontId="0" fillId="6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2" fontId="0" fillId="5" borderId="1" xfId="0" applyNumberFormat="1" applyFont="1" applyFill="1" applyBorder="1" applyAlignment="1">
      <x:alignment vertical="center" wrapText="1"/>
    </x:xf>
    <x:xf numFmtId="202" fontId="0" fillId="5" borderId="1" xfId="0" applyNumberFormat="1" applyFont="1" applyFill="1" applyBorder="1" applyAlignment="1">
      <x:alignment vertical="center"/>
    </x:xf>
    <x:xf numFmtId="203" fontId="0" fillId="5" borderId="1" xfId="0" applyNumberFormat="1" applyFont="1" applyFill="1" applyBorder="1" applyAlignment="1">
      <x:alignment vertical="center"/>
    </x:xf>
    <x:xf numFmtId="203" fontId="0" fillId="6" borderId="1" xfId="0" applyNumberFormat="1" applyFont="1" applyFill="1" applyBorder="1" applyAlignment="1">
      <x:alignment vertical="center"/>
    </x:xf>
    <x:xf numFmtId="201" fontId="0" fillId="6" borderId="1" xfId="0" applyNumberFormat="1" applyFont="1" applyFill="1" applyBorder="1" applyAlignment="1">
      <x:alignment vertical="center"/>
    </x:xf>
    <x:xf numFmtId="204" fontId="0" fillId="6" borderId="1" xfId="0" applyNumberFormat="1" applyFont="1" applyFill="1" applyBorder="1" applyAlignment="1">
      <x:alignment vertical="center"/>
    </x:xf>
    <x:xf numFmtId="205" fontId="0" fillId="6" borderId="1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0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/>
    </x:xf>
    <x:xf numFmtId="200" fontId="0" fillId="3" borderId="6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2" fontId="6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200" fontId="6" fillId="5" borderId="1" xfId="0" applyNumberFormat="1" applyFont="1" applyFill="1" applyBorder="1" applyAlignment="1">
      <x:alignment vertical="center"/>
    </x:xf>
    <x:xf numFmtId="201" fontId="6" fillId="5" borderId="1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203" fontId="6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 wrapText="1"/>
    </x:xf>
    <x:xf numFmtId="201" fontId="6" fillId="5" borderId="1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vertical="center" wrapText="1"/>
    </x:xf>
    <x:xf numFmtId="202" fontId="6" fillId="5" borderId="1" xfId="0" applyNumberFormat="1" applyFont="1" applyFill="1" applyBorder="1" applyAlignment="1">
      <x:alignment vertical="center" wrapText="1"/>
    </x:xf>
    <x:xf numFmtId="203" fontId="6" fillId="6" borderId="1" xfId="0" applyNumberFormat="1" applyFont="1" applyFill="1" applyBorder="1" applyAlignment="1">
      <x:alignment vertical="center"/>
    </x:xf>
    <x:xf numFmtId="201" fontId="6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204" fontId="6" fillId="6" borderId="1" xfId="0" applyNumberFormat="1" applyFont="1" applyFill="1" applyBorder="1" applyAlignment="1">
      <x:alignment vertical="center"/>
    </x:xf>
    <x:xf numFmtId="205" fontId="6" fillId="6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/>
    </x:xf>
    <x:xf numFmtId="0" fontId="6" fillId="3" borderId="5" xfId="0" applyNumberFormat="1" applyFont="1" applyFill="1" applyBorder="1" applyAlignment="1">
      <x:alignment wrapText="1"/>
    </x:xf>
    <x:xf numFmtId="200" fontId="6" fillId="3" borderId="6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0073cf4f94d93" /><Relationship Type="http://schemas.openxmlformats.org/officeDocument/2006/relationships/theme" Target="/xl/theme/theme1.xml" Id="R2e681a55bf504ff9" /><Relationship Type="http://schemas.openxmlformats.org/officeDocument/2006/relationships/sharedStrings" Target="/xl/sharedStrings.xml" Id="R218c4694a01e4320" /><Relationship Type="http://schemas.openxmlformats.org/officeDocument/2006/relationships/worksheet" Target="/xl/worksheets/sheet1.xml" Id="R0c1e18e2721c4768" /><Relationship Type="http://schemas.openxmlformats.org/officeDocument/2006/relationships/worksheet" Target="/xl/worksheets/sheet2.xml" Id="R78f2172f51b84d91" /><Relationship Type="http://schemas.openxmlformats.org/officeDocument/2006/relationships/worksheet" Target="/xl/worksheets/sheet3.xml" Id="Re70c8e00527b40f2" /><Relationship Type="http://schemas.openxmlformats.org/officeDocument/2006/relationships/worksheet" Target="/xl/worksheets/sheet4.xml" Id="R386152a2f823469e" /><Relationship Type="http://schemas.openxmlformats.org/officeDocument/2006/relationships/worksheet" Target="/xl/worksheets/sheet5.xml" Id="Rd48e80c72e6c41f0" /><Relationship Type="http://schemas.openxmlformats.org/officeDocument/2006/relationships/worksheet" Target="/xl/worksheets/sheet6.xml" Id="Rf6b20ffb689346a8" /><Relationship Type="http://schemas.openxmlformats.org/officeDocument/2006/relationships/worksheet" Target="/xl/worksheets/sheet7.xml" Id="Rcf5f2d4bb9fb480e" /><Relationship Type="http://schemas.openxmlformats.org/officeDocument/2006/relationships/worksheet" Target="/xl/worksheets/sheet8.xml" Id="R91ade9e3cde2485a" /><Relationship Type="http://schemas.openxmlformats.org/officeDocument/2006/relationships/worksheet" Target="/xl/worksheets/sheet9.xml" Id="Rf21d8f570c2f4708" /><Relationship Type="http://schemas.openxmlformats.org/officeDocument/2006/relationships/worksheet" Target="/xl/worksheets/sheet10.xml" Id="Rff343f6851104c93" /><Relationship Type="http://schemas.openxmlformats.org/officeDocument/2006/relationships/worksheet" Target="/xl/worksheets/sheet11.xml" Id="Rb7b7c70c533b414e" /><Relationship Type="http://schemas.openxmlformats.org/officeDocument/2006/relationships/worksheet" Target="/xl/worksheets/sheet12.xml" Id="Ra7a7addbf6dd40cb" /><Relationship Type="http://schemas.openxmlformats.org/officeDocument/2006/relationships/worksheet" Target="/xl/worksheets/sheet13.xml" Id="Rcc7d1fcb0a424696" /><Relationship Type="http://schemas.openxmlformats.org/officeDocument/2006/relationships/worksheet" Target="/xl/worksheets/sheet14.xml" Id="R7a1188658f6649d1" /><Relationship Type="http://schemas.openxmlformats.org/officeDocument/2006/relationships/worksheet" Target="/xl/worksheets/sheet15.xml" Id="R60e48bc7d4af47e5" /><Relationship Type="http://schemas.openxmlformats.org/officeDocument/2006/relationships/worksheet" Target="/xl/worksheets/sheet16.xml" Id="Rfec577c31be44700" /><Relationship Type="http://schemas.microsoft.com/office/2017/10/relationships/person" Target="/xl/persons/person.xml" Id="R8004f934cd6b4d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c3ce79fa2f45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발주금액 구성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발주금액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'Dashboard'!$B$17:$B$18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c3ce79fa2f45a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CM 운영팀" id="{B30C2391-B54E-4AAA-9400-71B636A31FD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L4" dT="2026-08-13T02:07:26.53" personId="{B30C2391-B54E-4AAA-9400-71B636A31FD2}" id="{A3CF1BB8-47F4-4E53-3557-B22E593FA902}">
    <xltc:text>Flexibility Rule 기본값: 전월 OL 대비 ±20%. 실제 Supplier별 계약 기준이 있으면 기준정보를 수정하십시오.</xltc:text>
  </xltc:threadedComment>
  <xltc:threadedComment ref="M4" dT="2026-08-13T02:07:26.531" personId="{B30C2391-B54E-4AAA-9400-71B636A31FD2}" id="{5B327658-384A-786D-1A4E-297560590373}">
    <xltc:text>Flexibility Rule 기본값: 전전월 OL 대비 ±30%. 실제 Supplier별 계약 기준이 있으면 기준정보를 수정하십시오.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J4" dT="2026-08-13T02:07:26.531" personId="{B30C2391-B54E-4AAA-9400-71B636A31FD2}" id="{7DF3AB0A-1CA6-E3FE-D6E4-B99E54A25D71}">
    <xltc:text>기본 필요량 = 확정 수요 - 가용재고. 필요 시 안전재고, 이월수요, Bulk Deal 확보수량을 별도 열로 확장하십시오.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L4" dT="2026-08-13T02:07:26.531" personId="{B30C2391-B54E-4AAA-9400-71B636A31FD2}" id="{DD7D940C-CCB1-C145-F249-FE5A1D1206D4}">
    <xltc:text>필수품은 장착율을 적용하지 않고 BOM 기준으로 계산하며, 선택품은 장착율을 적용합니다.</xltc:text>
  </xltc:threadedComment>
</xltc:ThreadedComment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708e26fe4fd84993" /><Relationship Type="http://schemas.openxmlformats.org/officeDocument/2006/relationships/vmlDrawing" Target="/xl/drawings/vmldrawing.vml" Id="R626b49b629d24da3" /><Relationship Type="http://schemas.microsoft.com/office/2017/10/relationships/threadedComment" Target="/xl/threadedcomments/threadedcomment.xml" Id="R759bc8cedb3b411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2.xml" Id="R1b09b71860b24cea" /><Relationship Type="http://schemas.openxmlformats.org/officeDocument/2006/relationships/vmlDrawing" Target="/xl/drawings/vmldrawing2.vml" Id="R3d1f0b2d6ee4473f" /><Relationship Type="http://schemas.microsoft.com/office/2017/10/relationships/threadedComment" Target="/xl/threadedcomments/threadedcomment2.xml" Id="R6c4d3c13348940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3.xml" Id="R4116c76b5e5f4370" /><Relationship Type="http://schemas.openxmlformats.org/officeDocument/2006/relationships/vmlDrawing" Target="/xl/drawings/vmldrawing3.vml" Id="Rb2f5f2c34fea43f7" /><Relationship Type="http://schemas.microsoft.com/office/2017/10/relationships/threadedComment" Target="/xl/threadedcomments/threadedcomment3.xml" Id="Rc5d09b4dc27c461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647874af2a6642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93" t="str">
        <x:v>기기·옵션 발주 및 입고관리 운영 엑셀 양식</x:v>
      </x:c>
      <x:c r="B1" s="62"/>
      <x:c r="C1" s="62"/>
      <x:c r="D1" s="62"/>
      <x:c r="E1" s="62"/>
      <x:c r="F1" s="62"/>
      <x:c r="G1" s="62"/>
      <x:c r="H1" s="62"/>
    </x:row>
    <x:row r="2">
      <x:c r="A2" s="63"/>
      <x:c r="B2" s="63"/>
      <x:c r="C2" s="63"/>
      <x:c r="D2" s="63"/>
      <x:c r="E2" s="63"/>
      <x:c r="F2" s="63"/>
      <x:c r="G2" s="63"/>
      <x:c r="H2" s="63"/>
    </x:row>
    <x:row r="3">
      <x:c r="A3" s="64" t="str">
        <x:v>목적</x:v>
      </x:c>
      <x:c r="B3" s="65" t="str">
        <x:v>OL·SFDC·Trend·수급회의를 기반으로 발주량을 산출하고, 승인·FX-LIVE·입고·PO Match까지 이력을 관리합니다.</x:v>
      </x:c>
      <x:c r="C3" s="65"/>
      <x:c r="D3" s="65"/>
      <x:c r="E3" s="65"/>
      <x:c r="F3" s="65"/>
      <x:c r="G3" s="65"/>
      <x:c r="H3" s="65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66" t="str">
        <x:v>시트 사용순서</x:v>
      </x:c>
      <x:c r="B5" s="66"/>
      <x:c r="C5" s="66"/>
      <x:c r="D5" s="66"/>
      <x:c r="E5" s="66"/>
      <x:c r="F5" s="66"/>
      <x:c r="G5" s="66"/>
      <x:c r="H5" s="66"/>
    </x:row>
    <x:row r="6">
      <x:c r="A6" s="67" t="str">
        <x:v>순서</x:v>
      </x:c>
      <x:c r="B6" s="67" t="str">
        <x:v>시트</x:v>
      </x:c>
      <x:c r="C6" s="67" t="str">
        <x:v>사용방법</x:v>
      </x:c>
      <x:c r="D6" s="63"/>
      <x:c r="E6" s="63"/>
      <x:c r="F6" s="63"/>
      <x:c r="G6" s="63"/>
      <x:c r="H6" s="63"/>
    </x:row>
    <x:row r="7">
      <x:c r="A7" s="68" t="str">
        <x:v>1</x:v>
      </x:c>
      <x:c r="B7" s="68" t="str">
        <x:v>Master_Rules</x:v>
      </x:c>
      <x:c r="C7" s="68" t="str">
        <x:v>Supplier, Lead Time, MOQ, Flexibility Rule, 단가, 평균 사용량 기준을 먼저 입력</x:v>
      </x:c>
      <x:c r="D7" s="63"/>
      <x:c r="E7" s="63"/>
      <x:c r="F7" s="63"/>
      <x:c r="G7" s="63"/>
      <x:c r="H7" s="63"/>
    </x:row>
    <x:row r="8">
      <x:c r="A8" s="68" t="str">
        <x:v>2</x:v>
      </x:c>
      <x:c r="B8" s="68" t="str">
        <x:v>Input_OL</x:v>
      </x:c>
      <x:c r="C8" s="68" t="str">
        <x:v>영업부서별 OL을 기종·필요월도 기준으로 입력</x:v>
      </x:c>
      <x:c r="D8" s="63"/>
      <x:c r="E8" s="63"/>
      <x:c r="F8" s="63"/>
      <x:c r="G8" s="63"/>
      <x:c r="H8" s="63"/>
    </x:row>
    <x:row r="9">
      <x:c r="A9" s="68" t="str">
        <x:v>3</x:v>
      </x:c>
      <x:c r="B9" s="68" t="str">
        <x:v>Input_SFDC</x:v>
      </x:c>
      <x:c r="C9" s="68" t="str">
        <x:v>중요 파이프라인 및 OL 외 Bulk Deal 입력</x:v>
      </x:c>
      <x:c r="D9" s="63"/>
      <x:c r="E9" s="63"/>
      <x:c r="F9" s="63"/>
      <x:c r="G9" s="63"/>
      <x:c r="H9" s="63"/>
    </x:row>
    <x:row r="10">
      <x:c r="A10" s="68" t="str">
        <x:v>4</x:v>
      </x:c>
      <x:c r="B10" s="68" t="str">
        <x:v>Input_Inventory</x:v>
      </x:c>
      <x:c r="C10" s="68" t="str">
        <x:v>전월 말 재고와 Open PO 입력</x:v>
      </x:c>
      <x:c r="D10" s="63"/>
      <x:c r="E10" s="63"/>
      <x:c r="F10" s="63"/>
      <x:c r="G10" s="63"/>
      <x:c r="H10" s="63"/>
    </x:row>
    <x:row r="11">
      <x:c r="A11" s="68" t="str">
        <x:v>5</x:v>
      </x:c>
      <x:c r="B11" s="68" t="str">
        <x:v>Master_BOM</x:v>
      </x:c>
      <x:c r="C11" s="68" t="str">
        <x:v>기종-옵션 관계, BOM, 장착율, 필수품/Common품 여부 입력</x:v>
      </x:c>
      <x:c r="D11" s="63"/>
      <x:c r="E11" s="63"/>
      <x:c r="F11" s="63"/>
      <x:c r="G11" s="63"/>
      <x:c r="H11" s="63"/>
    </x:row>
    <x:row r="12">
      <x:c r="A12" s="68" t="str">
        <x:v>6</x:v>
      </x:c>
      <x:c r="B12" s="68" t="str">
        <x:v>Calc_Device</x:v>
      </x:c>
      <x:c r="C12" s="68" t="str">
        <x:v>확정수요·재고·Open PO·MOQ·Flex 기준 기기 발주량 확인</x:v>
      </x:c>
      <x:c r="D12" s="63"/>
      <x:c r="E12" s="63"/>
      <x:c r="F12" s="63"/>
      <x:c r="G12" s="63"/>
      <x:c r="H12" s="63"/>
    </x:row>
    <x:row r="13">
      <x:c r="A13" s="68" t="str">
        <x:v>7</x:v>
      </x:c>
      <x:c r="B13" s="68" t="str">
        <x:v>Calc_Option</x:v>
      </x:c>
      <x:c r="C13" s="68" t="str">
        <x:v>기기 수요·장착율·BOM·평균사용량·재고 기준 옵션 발주량 확인</x:v>
      </x:c>
      <x:c r="D13" s="63"/>
      <x:c r="E13" s="63"/>
      <x:c r="F13" s="63"/>
      <x:c r="G13" s="63"/>
      <x:c r="H13" s="63"/>
    </x:row>
    <x:row r="14">
      <x:c r="A14" s="68" t="str">
        <x:v>8</x:v>
      </x:c>
      <x:c r="B14" s="68" t="str">
        <x:v>Report_Approval</x:v>
      </x:c>
      <x:c r="C14" s="68" t="str">
        <x:v>사장 보고용 금액/비교/차이사유 작성 및 승인상태 관리</x:v>
      </x:c>
      <x:c r="D14" s="63"/>
      <x:c r="E14" s="63"/>
      <x:c r="F14" s="63"/>
      <x:c r="G14" s="63"/>
      <x:c r="H14" s="63"/>
    </x:row>
    <x:row r="15">
      <x:c r="A15" s="68" t="str">
        <x:v>9</x:v>
      </x:c>
      <x:c r="B15" s="68" t="str">
        <x:v>Inbound_PO</x:v>
      </x:c>
      <x:c r="C15" s="68" t="str">
        <x:v>FX-LIVE 이후 선적·통관·입고·검수·Invoice·PO Match 관리</x:v>
      </x:c>
      <x:c r="D15" s="63"/>
      <x:c r="E15" s="63"/>
      <x:c r="F15" s="63"/>
      <x:c r="G15" s="63"/>
      <x:c r="H15" s="63"/>
    </x:row>
    <x:row r="16">
      <x:c r="A16" s="68" t="str">
        <x:v>10</x:v>
      </x:c>
      <x:c r="B16" s="68" t="str">
        <x:v>Dashboard</x:v>
      </x:c>
      <x:c r="C16" s="68" t="str">
        <x:v>주요 KPI와 리스크 요약 확인</x:v>
      </x:c>
      <x:c r="D16" s="63"/>
      <x:c r="E16" s="63"/>
      <x:c r="F16" s="63"/>
      <x:c r="G16" s="63"/>
      <x:c r="H16" s="63"/>
    </x:row>
    <x:row r="17">
      <x:c r="A17" s="63"/>
      <x:c r="B17" s="63"/>
      <x:c r="C17" s="63"/>
      <x:c r="D17" s="63"/>
      <x:c r="E17" s="63"/>
      <x:c r="F17" s="63"/>
      <x:c r="G17" s="63"/>
      <x:c r="H17" s="63"/>
    </x:row>
    <x:row r="18">
      <x:c r="A18" s="66" t="str">
        <x:v>핵심 산식</x:v>
      </x:c>
      <x:c r="B18" s="66"/>
      <x:c r="C18" s="66"/>
      <x:c r="D18" s="66"/>
      <x:c r="E18" s="66"/>
      <x:c r="F18" s="66"/>
      <x:c r="G18" s="66"/>
      <x:c r="H18" s="66"/>
    </x:row>
    <x:row r="19">
      <x:c r="A19" s="64" t="str">
        <x:v>기기 발주 필요량</x:v>
      </x:c>
      <x:c r="B19" s="69" t="str">
        <x:v>확정 수요 - 전월 말 가용재고 - 필요월도 전 입고예정 Open PO</x:v>
      </x:c>
      <x:c r="C19" s="69"/>
      <x:c r="D19" s="69"/>
      <x:c r="E19" s="69"/>
      <x:c r="F19" s="69"/>
      <x:c r="G19" s="69"/>
      <x:c r="H19" s="69"/>
    </x:row>
    <x:row r="20">
      <x:c r="A20" s="64" t="str">
        <x:v>옵션 소요량</x:v>
      </x:c>
      <x:c r="B20" s="69" t="str">
        <x:v>기기 수요 × 장착율 × BOM 수량 + 평균 사용량 기반 수요</x:v>
      </x:c>
      <x:c r="C20" s="69"/>
      <x:c r="D20" s="69"/>
      <x:c r="E20" s="69"/>
      <x:c r="F20" s="69"/>
      <x:c r="G20" s="69"/>
      <x:c r="H20" s="69"/>
    </x:row>
    <x:row r="21">
      <x:c r="A21" s="64" t="str">
        <x:v>최종 발주량</x:v>
      </x:c>
      <x:c r="B21" s="69" t="str">
        <x:v>필요량을 MOQ/발주단위 기준으로 올림 조정</x:v>
      </x:c>
      <x:c r="C21" s="69"/>
      <x:c r="D21" s="69"/>
      <x:c r="E21" s="69"/>
      <x:c r="F21" s="69"/>
      <x:c r="G21" s="69"/>
      <x:c r="H21" s="69"/>
    </x:row>
    <x:row r="22">
      <x:c r="A22" s="64" t="str">
        <x:v>Flexibility Rule</x:v>
      </x:c>
      <x:c r="B22" s="69" t="str">
        <x:v>전월 OL 대비 ±20%, 전전월 OL 대비 ±30%</x:v>
      </x:c>
      <x:c r="C22" s="69"/>
      <x:c r="D22" s="69"/>
      <x:c r="E22" s="69"/>
      <x:c r="F22" s="69"/>
      <x:c r="G22" s="69"/>
      <x:c r="H22" s="69"/>
    </x:row>
    <x:row r="23">
      <x:c r="A23" s="64" t="str">
        <x:v>주의</x:v>
      </x:c>
      <x:c r="B23" s="69" t="str">
        <x:v>예시 행은 사용법 확인용입니다. 실제 업무 적용 전 기준정보와 입력 데이터를 교체하십시오.</x:v>
      </x:c>
      <x:c r="C23" s="69"/>
      <x:c r="D23" s="69"/>
      <x:c r="E23" s="69"/>
      <x:c r="F23" s="69"/>
      <x:c r="G23" s="69"/>
      <x:c r="H23" s="69"/>
    </x:row>
    <x:row r="24">
      <x:c r="A24" s="63"/>
      <x:c r="B24" s="63"/>
      <x:c r="C24" s="63"/>
      <x:c r="D24" s="63"/>
      <x:c r="E24" s="63"/>
      <x:c r="F24" s="63"/>
      <x:c r="G24" s="63"/>
      <x:c r="H24" s="63"/>
    </x:row>
    <x:row r="25">
      <x:c r="A25" s="66" t="str">
        <x:v>이번 개정본에서 추가한 입력영역</x:v>
      </x:c>
      <x:c r="B25" s="66"/>
      <x:c r="C25" s="66"/>
      <x:c r="D25" s="66"/>
      <x:c r="E25" s="66"/>
      <x:c r="F25" s="66"/>
      <x:c r="G25" s="66"/>
      <x:c r="H25" s="66"/>
    </x:row>
    <x:row r="26">
      <x:c r="A26" s="67" t="str">
        <x:v>시트</x:v>
      </x:c>
      <x:c r="B26" s="67" t="str">
        <x:v>입력 대상</x:v>
      </x:c>
      <x:c r="C26" s="67" t="str">
        <x:v>주요 입력내용</x:v>
      </x:c>
      <x:c r="D26" s="63"/>
      <x:c r="E26" s="63"/>
      <x:c r="F26" s="63"/>
      <x:c r="G26" s="63"/>
      <x:c r="H26" s="63"/>
    </x:row>
    <x:row r="27">
      <x:c r="A27" s="70" t="str">
        <x:v>Master_Supplier</x:v>
      </x:c>
      <x:c r="B27" s="70" t="str">
        <x:v>Supplier 상세정보</x:v>
      </x:c>
      <x:c r="C27" s="70" t="str">
        <x:v>생산·선적·통관·국내운송 Lead Time, 발주마감, 운송수단, Incoterms, 분할납품/긴급발주</x:v>
      </x:c>
      <x:c r="D27" s="63"/>
      <x:c r="E27" s="63"/>
      <x:c r="F27" s="63"/>
      <x:c r="G27" s="63"/>
      <x:c r="H27" s="63"/>
    </x:row>
    <x:row r="28">
      <x:c r="A28" s="70" t="str">
        <x:v>Master_Policy</x:v>
      </x:c>
      <x:c r="B28" s="70" t="str">
        <x:v>발주 정책</x:v>
      </x:c>
      <x:c r="C28" s="70" t="str">
        <x:v>계획기간, 안전재고, 이월수요, Bulk Deal 반영기준, 재고차감/대체재고/PO 기준, PO Match 기준</x:v>
      </x:c>
      <x:c r="D28" s="63"/>
      <x:c r="E28" s="63"/>
      <x:c r="F28" s="63"/>
      <x:c r="G28" s="63"/>
      <x:c r="H28" s="63"/>
    </x:row>
    <x:row r="29">
      <x:c r="A29" s="70" t="str">
        <x:v>Master_Approval</x:v>
      </x:c>
      <x:c r="B29" s="70" t="str">
        <x:v>권한·승인</x:v>
      </x:c>
      <x:c r="C29" s="70" t="str">
        <x:v>역할별 담당자, 금액별 승인권자, Flex/MOQ 예외 승인자</x:v>
      </x:c>
      <x:c r="D29" s="63"/>
      <x:c r="E29" s="63"/>
      <x:c r="F29" s="63"/>
      <x:c r="G29" s="63"/>
      <x:c r="H29" s="63"/>
    </x:row>
    <x:row r="30">
      <x:c r="A30" s="70" t="str">
        <x:v>FXLIVE_Map</x:v>
      </x:c>
      <x:c r="B30" s="70" t="str">
        <x:v>FX-LIVE 연계</x:v>
      </x:c>
      <x:c r="C30" s="70" t="str">
        <x:v>입력필드, 원천컬럼, 필수여부, 데이터형식, 연계방식, 오류처리</x:v>
      </x:c>
      <x:c r="D30" s="63"/>
      <x:c r="E30" s="63"/>
      <x:c r="F30" s="63"/>
      <x:c r="G30" s="63"/>
      <x:c r="H30" s="63"/>
    </x:row>
    <x:row r="31">
      <x:c r="A31" s="70" t="str">
        <x:v>Input_Implementation</x:v>
      </x:c>
      <x:c r="B31" s="70" t="str">
        <x:v>구현 전 확인사항</x:v>
      </x:c>
      <x:c r="C31" s="70" t="str">
        <x:v>실제 파일·화면·인터페이스·업무정책의 확보 여부와 담당자/완료일</x:v>
      </x:c>
      <x:c r="D31" s="63"/>
      <x:c r="E31" s="63"/>
      <x:c r="F31" s="63"/>
      <x:c r="G31" s="63"/>
      <x:c r="H31" s="63"/>
    </x:row>
  </x:sheetData>
  <x:mergeCells>
    <x:mergeCell ref="A1:H1"/>
    <x:mergeCell ref="B3:H3"/>
    <x:mergeCell ref="A5:H5"/>
    <x:mergeCell ref="A18:H18"/>
    <x:mergeCell ref="B19:H19"/>
    <x:mergeCell ref="B20:H20"/>
    <x:mergeCell ref="B21:H21"/>
    <x:mergeCell ref="B22:H22"/>
    <x:mergeCell ref="B23:H23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20" hidden="0" customWidth="1"/>
    <x:col min="5" max="5" width="12" hidden="0" customWidth="1"/>
    <x:col min="6" max="6" width="13" hidden="0" customWidth="1"/>
    <x:col min="7" max="7" width="12" hidden="0" customWidth="1"/>
    <x:col min="8" max="8" width="18" hidden="0" customWidth="1"/>
    <x:col min="9" max="9" width="14" hidden="0" customWidth="1"/>
    <x:col min="10" max="10" width="14" hidden="0" customWidth="1"/>
    <x:col min="11" max="11" width="12" hidden="0" customWidth="1"/>
    <x:col min="12" max="12" width="24" hidden="0" customWidth="1"/>
    <x:col min="13" max="13" width="12" hidden="0" customWidth="1"/>
    <x:col min="14" max="14" width="16" hidden="0" customWidth="1"/>
  </x:cols>
  <x:sheetData>
    <x:row r="1" ht="30" customHeight="1">
      <x:c r="A1" s="93" t="str">
        <x:v>입력: 영업부서별 OL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</x:row>
    <x:row r="3">
      <x:c r="A3" s="67" t="str">
        <x:v>기준월</x:v>
      </x:c>
      <x:c r="B3" s="67" t="str">
        <x:v>영업부서</x:v>
      </x:c>
      <x:c r="C3" s="67" t="str">
        <x:v>기종코드</x:v>
      </x:c>
      <x:c r="D3" s="67" t="str">
        <x:v>기종명</x:v>
      </x:c>
      <x:c r="E3" s="67" t="str">
        <x:v>상품구분</x:v>
      </x:c>
      <x:c r="F3" s="67" t="str">
        <x:v>필요월도</x:v>
      </x:c>
      <x:c r="G3" s="67" t="str">
        <x:v>OL 수량</x:v>
      </x:c>
      <x:c r="H3" s="67" t="str">
        <x:v>OL 버전</x:v>
      </x:c>
      <x:c r="I3" s="67" t="str">
        <x:v>검증상태</x:v>
      </x:c>
      <x:c r="J3" s="67" t="str">
        <x:v>수급회의 반영</x:v>
      </x:c>
      <x:c r="K3" s="67" t="str">
        <x:v>확정수요</x:v>
      </x:c>
      <x:c r="L3" s="67" t="str">
        <x:v>차이사유</x:v>
      </x:c>
      <x:c r="M3" s="67" t="str">
        <x:v>담당자</x:v>
      </x:c>
      <x:c r="N3" s="67" t="str">
        <x:v>비고</x:v>
      </x:c>
    </x:row>
    <x:row r="4">
      <x:c r="A4" s="71" t="n">
        <x:v>46235</x:v>
      </x:c>
      <x:c r="B4" s="72" t="str">
        <x:v>영업1팀</x:v>
      </x:c>
      <x:c r="C4" s="72" t="str">
        <x:v>PRT-A3-001</x:v>
      </x:c>
      <x:c r="D4" s="72" t="str">
        <x:v>A3 Printer</x:v>
      </x:c>
      <x:c r="E4" s="72" t="str">
        <x:v>기기</x:v>
      </x:c>
      <x:c r="F4" s="71" t="n">
        <x:v>46266</x:v>
      </x:c>
      <x:c r="G4" s="73" t="n">
        <x:v>40</x:v>
      </x:c>
      <x:c r="H4" s="73" t="str">
        <x:v>OL-202608-v1</x:v>
      </x:c>
      <x:c r="I4" s="73" t="str">
        <x:v>검증완료</x:v>
      </x:c>
      <x:c r="J4" s="73" t="str">
        <x:v>Y</x:v>
      </x:c>
      <x:c r="K4" s="73" t="n">
        <x:v>40</x:v>
      </x:c>
      <x:c r="L4" s="72" t="str"/>
      <x:c r="M4" s="72" t="str">
        <x:v>홍길동</x:v>
      </x:c>
      <x:c r="N4" s="72" t="str">
        <x:v>예시</x:v>
      </x:c>
    </x:row>
    <x:row r="5">
      <x:c r="A5" s="71" t="n">
        <x:v>46235</x:v>
      </x:c>
      <x:c r="B5" s="72" t="str">
        <x:v>영업1팀</x:v>
      </x:c>
      <x:c r="C5" s="72" t="str">
        <x:v>PRT-A4-001</x:v>
      </x:c>
      <x:c r="D5" s="72" t="str">
        <x:v>A4 Printer</x:v>
      </x:c>
      <x:c r="E5" s="72" t="str">
        <x:v>기기</x:v>
      </x:c>
      <x:c r="F5" s="71" t="n">
        <x:v>46266</x:v>
      </x:c>
      <x:c r="G5" s="73" t="n">
        <x:v>60</x:v>
      </x:c>
      <x:c r="H5" s="73" t="str">
        <x:v>OL-202608-v1</x:v>
      </x:c>
      <x:c r="I5" s="73" t="str">
        <x:v>검증완료</x:v>
      </x:c>
      <x:c r="J5" s="73" t="str">
        <x:v>Y</x:v>
      </x:c>
      <x:c r="K5" s="73" t="n">
        <x:v>60</x:v>
      </x:c>
      <x:c r="L5" s="72" t="str"/>
      <x:c r="M5" s="72" t="str">
        <x:v>홍길동</x:v>
      </x:c>
      <x:c r="N5" s="72" t="str">
        <x:v>예시</x:v>
      </x:c>
    </x:row>
    <x:row r="6">
      <x:c r="A6" s="71" t="n">
        <x:v>46235</x:v>
      </x:c>
      <x:c r="B6" s="72" t="str">
        <x:v>영업2팀</x:v>
      </x:c>
      <x:c r="C6" s="72" t="str">
        <x:v>PRT-A3-001</x:v>
      </x:c>
      <x:c r="D6" s="72" t="str">
        <x:v>A3 Printer</x:v>
      </x:c>
      <x:c r="E6" s="72" t="str">
        <x:v>기기</x:v>
      </x:c>
      <x:c r="F6" s="71" t="n">
        <x:v>46296</x:v>
      </x:c>
      <x:c r="G6" s="73" t="n">
        <x:v>30</x:v>
      </x:c>
      <x:c r="H6" s="73" t="str">
        <x:v>OL-202608-v1</x:v>
      </x:c>
      <x:c r="I6" s="73" t="str">
        <x:v>검증완료</x:v>
      </x:c>
      <x:c r="J6" s="73" t="str">
        <x:v>Y</x:v>
      </x:c>
      <x:c r="K6" s="73" t="n">
        <x:v>30</x:v>
      </x:c>
      <x:c r="L6" s="72" t="str"/>
      <x:c r="M6" s="72" t="str">
        <x:v>김영업</x:v>
      </x:c>
      <x:c r="N6" s="72" t="str"/>
    </x:row>
    <x:row r="7">
      <x:c r="A7" s="71" t="n">
        <x:v>46235</x:v>
      </x:c>
      <x:c r="B7" s="72" t="str">
        <x:v>영업2팀</x:v>
      </x:c>
      <x:c r="C7" s="72" t="str">
        <x:v>PRT-A4-001</x:v>
      </x:c>
      <x:c r="D7" s="72" t="str">
        <x:v>A4 Printer</x:v>
      </x:c>
      <x:c r="E7" s="72" t="str">
        <x:v>기기</x:v>
      </x:c>
      <x:c r="F7" s="71" t="n">
        <x:v>46296</x:v>
      </x:c>
      <x:c r="G7" s="73" t="n">
        <x:v>20</x:v>
      </x:c>
      <x:c r="H7" s="73" t="str">
        <x:v>OL-202608-v1</x:v>
      </x:c>
      <x:c r="I7" s="73" t="str">
        <x:v>검증완료</x:v>
      </x:c>
      <x:c r="J7" s="73" t="str">
        <x:v>Y</x:v>
      </x:c>
      <x:c r="K7" s="73" t="n">
        <x:v>20</x:v>
      </x:c>
      <x:c r="L7" s="72" t="str"/>
      <x:c r="M7" s="72" t="str">
        <x:v>김영업</x:v>
      </x:c>
      <x:c r="N7" s="72" t="str"/>
    </x:row>
    <x:row r="8">
      <x:c r="A8" s="71" t="n">
        <x:v>46235</x:v>
      </x:c>
      <x:c r="B8" s="72" t="str">
        <x:v>영업3팀</x:v>
      </x:c>
      <x:c r="C8" s="72" t="str">
        <x:v>PRT-A3-001</x:v>
      </x:c>
      <x:c r="D8" s="72" t="str">
        <x:v>A3 Printer</x:v>
      </x:c>
      <x:c r="E8" s="72" t="str">
        <x:v>기기</x:v>
      </x:c>
      <x:c r="F8" s="71" t="n">
        <x:v>46266</x:v>
      </x:c>
      <x:c r="G8" s="73" t="n">
        <x:v>10</x:v>
      </x:c>
      <x:c r="H8" s="73" t="str">
        <x:v>OL-202608-v1</x:v>
      </x:c>
      <x:c r="I8" s="73" t="str">
        <x:v>검토필요</x:v>
      </x:c>
      <x:c r="J8" s="73" t="str">
        <x:v>N</x:v>
      </x:c>
      <x:c r="K8" s="73" t="n">
        <x:v>0</x:v>
      </x:c>
      <x:c r="L8" s="72" t="str">
        <x:v>Bulk Deal 확인 중</x:v>
      </x:c>
      <x:c r="M8" s="72" t="str">
        <x:v>이영업</x:v>
      </x:c>
      <x:c r="N8" s="72" t="str"/>
    </x:row>
    <x:row r="9">
      <x:c r="A9" s="71"/>
      <x:c r="B9" s="72"/>
      <x:c r="C9" s="72"/>
      <x:c r="D9" s="72"/>
      <x:c r="E9" s="72"/>
      <x:c r="F9" s="71"/>
      <x:c r="G9" s="73"/>
      <x:c r="H9" s="73"/>
      <x:c r="I9" s="73"/>
      <x:c r="J9" s="73"/>
      <x:c r="K9" s="73"/>
      <x:c r="L9" s="72"/>
      <x:c r="M9" s="72"/>
      <x:c r="N9" s="72"/>
    </x:row>
    <x:row r="10">
      <x:c r="A10" s="71"/>
      <x:c r="B10" s="72"/>
      <x:c r="C10" s="72"/>
      <x:c r="D10" s="72"/>
      <x:c r="E10" s="72"/>
      <x:c r="F10" s="71"/>
      <x:c r="G10" s="73"/>
      <x:c r="H10" s="73"/>
      <x:c r="I10" s="73"/>
      <x:c r="J10" s="73"/>
      <x:c r="K10" s="73"/>
      <x:c r="L10" s="72"/>
      <x:c r="M10" s="72"/>
      <x:c r="N10" s="72"/>
    </x:row>
    <x:row r="11">
      <x:c r="A11" s="71"/>
      <x:c r="B11" s="72"/>
      <x:c r="C11" s="72"/>
      <x:c r="D11" s="72"/>
      <x:c r="E11" s="72"/>
      <x:c r="F11" s="71"/>
      <x:c r="G11" s="73"/>
      <x:c r="H11" s="73"/>
      <x:c r="I11" s="73"/>
      <x:c r="J11" s="73"/>
      <x:c r="K11" s="73"/>
      <x:c r="L11" s="72"/>
      <x:c r="M11" s="72"/>
      <x:c r="N11" s="72"/>
    </x:row>
    <x:row r="12">
      <x:c r="A12" s="71"/>
      <x:c r="B12" s="72"/>
      <x:c r="C12" s="72"/>
      <x:c r="D12" s="72"/>
      <x:c r="E12" s="72"/>
      <x:c r="F12" s="71"/>
      <x:c r="G12" s="73"/>
      <x:c r="H12" s="73"/>
      <x:c r="I12" s="73"/>
      <x:c r="J12" s="73"/>
      <x:c r="K12" s="73"/>
      <x:c r="L12" s="72"/>
      <x:c r="M12" s="72"/>
      <x:c r="N12" s="72"/>
    </x:row>
    <x:row r="13">
      <x:c r="A13" s="71"/>
      <x:c r="B13" s="72"/>
      <x:c r="C13" s="72"/>
      <x:c r="D13" s="72"/>
      <x:c r="E13" s="72"/>
      <x:c r="F13" s="71"/>
      <x:c r="G13" s="73"/>
      <x:c r="H13" s="73"/>
      <x:c r="I13" s="73"/>
      <x:c r="J13" s="73"/>
      <x:c r="K13" s="73"/>
      <x:c r="L13" s="72"/>
      <x:c r="M13" s="72"/>
      <x:c r="N13" s="72"/>
    </x:row>
    <x:row r="14">
      <x:c r="A14" s="71"/>
      <x:c r="B14" s="72"/>
      <x:c r="C14" s="72"/>
      <x:c r="D14" s="72"/>
      <x:c r="E14" s="72"/>
      <x:c r="F14" s="71"/>
      <x:c r="G14" s="73"/>
      <x:c r="H14" s="73"/>
      <x:c r="I14" s="73"/>
      <x:c r="J14" s="73"/>
      <x:c r="K14" s="73"/>
      <x:c r="L14" s="72"/>
      <x:c r="M14" s="72"/>
      <x:c r="N14" s="72"/>
    </x:row>
    <x:row r="15">
      <x:c r="A15" s="71"/>
      <x:c r="B15" s="72"/>
      <x:c r="C15" s="72"/>
      <x:c r="D15" s="72"/>
      <x:c r="E15" s="72"/>
      <x:c r="F15" s="71"/>
      <x:c r="G15" s="73"/>
      <x:c r="H15" s="73"/>
      <x:c r="I15" s="73"/>
      <x:c r="J15" s="73"/>
      <x:c r="K15" s="73"/>
      <x:c r="L15" s="72"/>
      <x:c r="M15" s="72"/>
      <x:c r="N15" s="72"/>
    </x:row>
    <x:row r="16">
      <x:c r="A16" s="71"/>
      <x:c r="B16" s="72"/>
      <x:c r="C16" s="72"/>
      <x:c r="D16" s="72"/>
      <x:c r="E16" s="72"/>
      <x:c r="F16" s="71"/>
      <x:c r="G16" s="73"/>
      <x:c r="H16" s="73"/>
      <x:c r="I16" s="73"/>
      <x:c r="J16" s="73"/>
      <x:c r="K16" s="73"/>
      <x:c r="L16" s="72"/>
      <x:c r="M16" s="72"/>
      <x:c r="N16" s="72"/>
    </x:row>
    <x:row r="17">
      <x:c r="A17" s="71"/>
      <x:c r="B17" s="72"/>
      <x:c r="C17" s="72"/>
      <x:c r="D17" s="72"/>
      <x:c r="E17" s="72"/>
      <x:c r="F17" s="71"/>
      <x:c r="G17" s="73"/>
      <x:c r="H17" s="73"/>
      <x:c r="I17" s="73"/>
      <x:c r="J17" s="73"/>
      <x:c r="K17" s="73"/>
      <x:c r="L17" s="72"/>
      <x:c r="M17" s="72"/>
      <x:c r="N17" s="72"/>
    </x:row>
    <x:row r="18">
      <x:c r="A18" s="71"/>
      <x:c r="B18" s="72"/>
      <x:c r="C18" s="72"/>
      <x:c r="D18" s="72"/>
      <x:c r="E18" s="72"/>
      <x:c r="F18" s="71"/>
      <x:c r="G18" s="73"/>
      <x:c r="H18" s="73"/>
      <x:c r="I18" s="73"/>
      <x:c r="J18" s="73"/>
      <x:c r="K18" s="73"/>
      <x:c r="L18" s="72"/>
      <x:c r="M18" s="72"/>
      <x:c r="N18" s="72"/>
    </x:row>
    <x:row r="19">
      <x:c r="A19" s="71"/>
      <x:c r="B19" s="72"/>
      <x:c r="C19" s="72"/>
      <x:c r="D19" s="72"/>
      <x:c r="E19" s="72"/>
      <x:c r="F19" s="71"/>
      <x:c r="G19" s="73"/>
      <x:c r="H19" s="73"/>
      <x:c r="I19" s="73"/>
      <x:c r="J19" s="73"/>
      <x:c r="K19" s="73"/>
      <x:c r="L19" s="72"/>
      <x:c r="M19" s="72"/>
      <x:c r="N19" s="72"/>
    </x:row>
    <x:row r="20">
      <x:c r="A20" s="71"/>
      <x:c r="B20" s="72"/>
      <x:c r="C20" s="72"/>
      <x:c r="D20" s="72"/>
      <x:c r="E20" s="72"/>
      <x:c r="F20" s="71"/>
      <x:c r="G20" s="73"/>
      <x:c r="H20" s="73"/>
      <x:c r="I20" s="73"/>
      <x:c r="J20" s="73"/>
      <x:c r="K20" s="73"/>
      <x:c r="L20" s="72"/>
      <x:c r="M20" s="72"/>
      <x:c r="N20" s="72"/>
    </x:row>
    <x:row r="21">
      <x:c r="A21" s="71"/>
      <x:c r="B21" s="72"/>
      <x:c r="C21" s="72"/>
      <x:c r="D21" s="72"/>
      <x:c r="E21" s="72"/>
      <x:c r="F21" s="71"/>
      <x:c r="G21" s="73"/>
      <x:c r="H21" s="73"/>
      <x:c r="I21" s="73"/>
      <x:c r="J21" s="73"/>
      <x:c r="K21" s="73"/>
      <x:c r="L21" s="72"/>
      <x:c r="M21" s="72"/>
      <x:c r="N21" s="72"/>
    </x:row>
    <x:row r="22">
      <x:c r="A22" s="71"/>
      <x:c r="B22" s="72"/>
      <x:c r="C22" s="72"/>
      <x:c r="D22" s="72"/>
      <x:c r="E22" s="72"/>
      <x:c r="F22" s="71"/>
      <x:c r="G22" s="73"/>
      <x:c r="H22" s="73"/>
      <x:c r="I22" s="73"/>
      <x:c r="J22" s="73"/>
      <x:c r="K22" s="73"/>
      <x:c r="L22" s="72"/>
      <x:c r="M22" s="72"/>
      <x:c r="N22" s="72"/>
    </x:row>
    <x:row r="23">
      <x:c r="A23" s="71"/>
      <x:c r="B23" s="72"/>
      <x:c r="C23" s="72"/>
      <x:c r="D23" s="72"/>
      <x:c r="E23" s="72"/>
      <x:c r="F23" s="71"/>
      <x:c r="G23" s="73"/>
      <x:c r="H23" s="73"/>
      <x:c r="I23" s="73"/>
      <x:c r="J23" s="73"/>
      <x:c r="K23" s="73"/>
      <x:c r="L23" s="72"/>
      <x:c r="M23" s="72"/>
      <x:c r="N23" s="72"/>
    </x:row>
    <x:row r="24">
      <x:c r="A24" s="71"/>
      <x:c r="B24" s="72"/>
      <x:c r="C24" s="72"/>
      <x:c r="D24" s="72"/>
      <x:c r="E24" s="72"/>
      <x:c r="F24" s="71"/>
      <x:c r="G24" s="73"/>
      <x:c r="H24" s="73"/>
      <x:c r="I24" s="73"/>
      <x:c r="J24" s="73"/>
      <x:c r="K24" s="73"/>
      <x:c r="L24" s="72"/>
      <x:c r="M24" s="72"/>
      <x:c r="N24" s="72"/>
    </x:row>
    <x:row r="25">
      <x:c r="A25" s="71"/>
      <x:c r="B25" s="72"/>
      <x:c r="C25" s="72"/>
      <x:c r="D25" s="72"/>
      <x:c r="E25" s="72"/>
      <x:c r="F25" s="71"/>
      <x:c r="G25" s="73"/>
      <x:c r="H25" s="73"/>
      <x:c r="I25" s="73"/>
      <x:c r="J25" s="73"/>
      <x:c r="K25" s="73"/>
      <x:c r="L25" s="72"/>
      <x:c r="M25" s="72"/>
      <x:c r="N25" s="72"/>
    </x:row>
    <x:row r="26">
      <x:c r="A26" s="71"/>
      <x:c r="B26" s="72"/>
      <x:c r="C26" s="72"/>
      <x:c r="D26" s="72"/>
      <x:c r="E26" s="72"/>
      <x:c r="F26" s="71"/>
      <x:c r="G26" s="73"/>
      <x:c r="H26" s="73"/>
      <x:c r="I26" s="73"/>
      <x:c r="J26" s="73"/>
      <x:c r="K26" s="73"/>
      <x:c r="L26" s="72"/>
      <x:c r="M26" s="72"/>
      <x:c r="N26" s="72"/>
    </x:row>
    <x:row r="27">
      <x:c r="A27" s="71"/>
      <x:c r="B27" s="72"/>
      <x:c r="C27" s="72"/>
      <x:c r="D27" s="72"/>
      <x:c r="E27" s="72"/>
      <x:c r="F27" s="71"/>
      <x:c r="G27" s="73"/>
      <x:c r="H27" s="73"/>
      <x:c r="I27" s="73"/>
      <x:c r="J27" s="73"/>
      <x:c r="K27" s="73"/>
      <x:c r="L27" s="72"/>
      <x:c r="M27" s="72"/>
      <x:c r="N27" s="72"/>
    </x:row>
    <x:row r="28">
      <x:c r="A28" s="71"/>
      <x:c r="B28" s="72"/>
      <x:c r="C28" s="72"/>
      <x:c r="D28" s="72"/>
      <x:c r="E28" s="72"/>
      <x:c r="F28" s="71"/>
      <x:c r="G28" s="73"/>
      <x:c r="H28" s="73"/>
      <x:c r="I28" s="73"/>
      <x:c r="J28" s="73"/>
      <x:c r="K28" s="73"/>
      <x:c r="L28" s="72"/>
      <x:c r="M28" s="72"/>
      <x:c r="N28" s="72"/>
    </x:row>
    <x:row r="29">
      <x:c r="A29" s="71"/>
      <x:c r="B29" s="72"/>
      <x:c r="C29" s="72"/>
      <x:c r="D29" s="72"/>
      <x:c r="E29" s="72"/>
      <x:c r="F29" s="71"/>
      <x:c r="G29" s="73"/>
      <x:c r="H29" s="73"/>
      <x:c r="I29" s="73"/>
      <x:c r="J29" s="73"/>
      <x:c r="K29" s="73"/>
      <x:c r="L29" s="72"/>
      <x:c r="M29" s="72"/>
      <x:c r="N29" s="72"/>
    </x:row>
    <x:row r="30">
      <x:c r="A30" s="71"/>
      <x:c r="B30" s="72"/>
      <x:c r="C30" s="72"/>
      <x:c r="D30" s="72"/>
      <x:c r="E30" s="72"/>
      <x:c r="F30" s="71"/>
      <x:c r="G30" s="73"/>
      <x:c r="H30" s="73"/>
      <x:c r="I30" s="73"/>
      <x:c r="J30" s="73"/>
      <x:c r="K30" s="73"/>
      <x:c r="L30" s="72"/>
      <x:c r="M30" s="72"/>
      <x:c r="N30" s="72"/>
    </x:row>
    <x:row r="31">
      <x:c r="A31" s="71"/>
      <x:c r="B31" s="72"/>
      <x:c r="C31" s="72"/>
      <x:c r="D31" s="72"/>
      <x:c r="E31" s="72"/>
      <x:c r="F31" s="71"/>
      <x:c r="G31" s="73"/>
      <x:c r="H31" s="73"/>
      <x:c r="I31" s="73"/>
      <x:c r="J31" s="73"/>
      <x:c r="K31" s="73"/>
      <x:c r="L31" s="72"/>
      <x:c r="M31" s="72"/>
      <x:c r="N31" s="72"/>
    </x:row>
    <x:row r="32">
      <x:c r="A32" s="71"/>
      <x:c r="B32" s="72"/>
      <x:c r="C32" s="72"/>
      <x:c r="D32" s="72"/>
      <x:c r="E32" s="72"/>
      <x:c r="F32" s="71"/>
      <x:c r="G32" s="73"/>
      <x:c r="H32" s="73"/>
      <x:c r="I32" s="73"/>
      <x:c r="J32" s="73"/>
      <x:c r="K32" s="73"/>
      <x:c r="L32" s="72"/>
      <x:c r="M32" s="72"/>
      <x:c r="N32" s="72"/>
    </x:row>
    <x:row r="33">
      <x:c r="A33" s="71"/>
      <x:c r="B33" s="72"/>
      <x:c r="C33" s="72"/>
      <x:c r="D33" s="72"/>
      <x:c r="E33" s="72"/>
      <x:c r="F33" s="71"/>
      <x:c r="G33" s="73"/>
      <x:c r="H33" s="73"/>
      <x:c r="I33" s="73"/>
      <x:c r="J33" s="73"/>
      <x:c r="K33" s="73"/>
      <x:c r="L33" s="72"/>
      <x:c r="M33" s="72"/>
      <x:c r="N33" s="72"/>
    </x:row>
    <x:row r="34">
      <x:c r="A34" s="71"/>
      <x:c r="B34" s="72"/>
      <x:c r="C34" s="72"/>
      <x:c r="D34" s="72"/>
      <x:c r="E34" s="72"/>
      <x:c r="F34" s="71"/>
      <x:c r="G34" s="73"/>
      <x:c r="H34" s="73"/>
      <x:c r="I34" s="73"/>
      <x:c r="J34" s="73"/>
      <x:c r="K34" s="73"/>
      <x:c r="L34" s="72"/>
      <x:c r="M34" s="72"/>
      <x:c r="N34" s="72"/>
    </x:row>
    <x:row r="35">
      <x:c r="A35" s="71"/>
      <x:c r="B35" s="72"/>
      <x:c r="C35" s="72"/>
      <x:c r="D35" s="72"/>
      <x:c r="E35" s="72"/>
      <x:c r="F35" s="71"/>
      <x:c r="G35" s="73"/>
      <x:c r="H35" s="73"/>
      <x:c r="I35" s="73"/>
      <x:c r="J35" s="73"/>
      <x:c r="K35" s="73"/>
      <x:c r="L35" s="72"/>
      <x:c r="M35" s="72"/>
      <x:c r="N35" s="72"/>
    </x:row>
    <x:row r="36">
      <x:c r="A36" s="71"/>
      <x:c r="B36" s="72"/>
      <x:c r="C36" s="72"/>
      <x:c r="D36" s="72"/>
      <x:c r="E36" s="72"/>
      <x:c r="F36" s="71"/>
      <x:c r="G36" s="73"/>
      <x:c r="H36" s="73"/>
      <x:c r="I36" s="73"/>
      <x:c r="J36" s="73"/>
      <x:c r="K36" s="73"/>
      <x:c r="L36" s="72"/>
      <x:c r="M36" s="72"/>
      <x:c r="N36" s="72"/>
    </x:row>
    <x:row r="37">
      <x:c r="A37" s="71"/>
      <x:c r="B37" s="72"/>
      <x:c r="C37" s="72"/>
      <x:c r="D37" s="72"/>
      <x:c r="E37" s="72"/>
      <x:c r="F37" s="71"/>
      <x:c r="G37" s="73"/>
      <x:c r="H37" s="73"/>
      <x:c r="I37" s="73"/>
      <x:c r="J37" s="73"/>
      <x:c r="K37" s="73"/>
      <x:c r="L37" s="72"/>
      <x:c r="M37" s="72"/>
      <x:c r="N37" s="72"/>
    </x:row>
    <x:row r="38">
      <x:c r="A38" s="71"/>
      <x:c r="B38" s="72"/>
      <x:c r="C38" s="72"/>
      <x:c r="D38" s="72"/>
      <x:c r="E38" s="72"/>
      <x:c r="F38" s="71"/>
      <x:c r="G38" s="73"/>
      <x:c r="H38" s="73"/>
      <x:c r="I38" s="73"/>
      <x:c r="J38" s="73"/>
      <x:c r="K38" s="73"/>
      <x:c r="L38" s="72"/>
      <x:c r="M38" s="72"/>
      <x:c r="N38" s="72"/>
    </x:row>
    <x:row r="39">
      <x:c r="A39" s="71"/>
      <x:c r="B39" s="72"/>
      <x:c r="C39" s="72"/>
      <x:c r="D39" s="72"/>
      <x:c r="E39" s="72"/>
      <x:c r="F39" s="71"/>
      <x:c r="G39" s="73"/>
      <x:c r="H39" s="73"/>
      <x:c r="I39" s="73"/>
      <x:c r="J39" s="73"/>
      <x:c r="K39" s="73"/>
      <x:c r="L39" s="72"/>
      <x:c r="M39" s="72"/>
      <x:c r="N39" s="72"/>
    </x:row>
    <x:row r="40">
      <x:c r="A40" s="71"/>
      <x:c r="B40" s="72"/>
      <x:c r="C40" s="72"/>
      <x:c r="D40" s="72"/>
      <x:c r="E40" s="72"/>
      <x:c r="F40" s="71"/>
      <x:c r="G40" s="73"/>
      <x:c r="H40" s="73"/>
      <x:c r="I40" s="73"/>
      <x:c r="J40" s="73"/>
      <x:c r="K40" s="73"/>
      <x:c r="L40" s="72"/>
      <x:c r="M40" s="72"/>
      <x:c r="N40" s="72"/>
    </x:row>
    <x:row r="41">
      <x:c r="A41" s="71"/>
      <x:c r="B41" s="72"/>
      <x:c r="C41" s="72"/>
      <x:c r="D41" s="72"/>
      <x:c r="E41" s="72"/>
      <x:c r="F41" s="71"/>
      <x:c r="G41" s="73"/>
      <x:c r="H41" s="73"/>
      <x:c r="I41" s="73"/>
      <x:c r="J41" s="73"/>
      <x:c r="K41" s="73"/>
      <x:c r="L41" s="72"/>
      <x:c r="M41" s="72"/>
      <x:c r="N41" s="72"/>
    </x:row>
    <x:row r="42">
      <x:c r="A42" s="71"/>
      <x:c r="B42" s="72"/>
      <x:c r="C42" s="72"/>
      <x:c r="D42" s="72"/>
      <x:c r="E42" s="72"/>
      <x:c r="F42" s="71"/>
      <x:c r="G42" s="73"/>
      <x:c r="H42" s="73"/>
      <x:c r="I42" s="73"/>
      <x:c r="J42" s="73"/>
      <x:c r="K42" s="73"/>
      <x:c r="L42" s="72"/>
      <x:c r="M42" s="72"/>
      <x:c r="N42" s="72"/>
    </x:row>
    <x:row r="43">
      <x:c r="A43" s="71"/>
      <x:c r="B43" s="72"/>
      <x:c r="C43" s="72"/>
      <x:c r="D43" s="72"/>
      <x:c r="E43" s="72"/>
      <x:c r="F43" s="71"/>
      <x:c r="G43" s="73"/>
      <x:c r="H43" s="73"/>
      <x:c r="I43" s="73"/>
      <x:c r="J43" s="73"/>
      <x:c r="K43" s="73"/>
      <x:c r="L43" s="72"/>
      <x:c r="M43" s="72"/>
      <x:c r="N43" s="72"/>
    </x:row>
    <x:row r="44">
      <x:c r="A44" s="71"/>
      <x:c r="B44" s="72"/>
      <x:c r="C44" s="72"/>
      <x:c r="D44" s="72"/>
      <x:c r="E44" s="72"/>
      <x:c r="F44" s="71"/>
      <x:c r="G44" s="73"/>
      <x:c r="H44" s="73"/>
      <x:c r="I44" s="73"/>
      <x:c r="J44" s="73"/>
      <x:c r="K44" s="73"/>
      <x:c r="L44" s="72"/>
      <x:c r="M44" s="72"/>
      <x:c r="N44" s="72"/>
    </x:row>
    <x:row r="45">
      <x:c r="A45" s="71"/>
      <x:c r="B45" s="72"/>
      <x:c r="C45" s="72"/>
      <x:c r="D45" s="72"/>
      <x:c r="E45" s="72"/>
      <x:c r="F45" s="71"/>
      <x:c r="G45" s="73"/>
      <x:c r="H45" s="73"/>
      <x:c r="I45" s="73"/>
      <x:c r="J45" s="73"/>
      <x:c r="K45" s="73"/>
      <x:c r="L45" s="72"/>
      <x:c r="M45" s="72"/>
      <x:c r="N45" s="72"/>
    </x:row>
    <x:row r="46">
      <x:c r="A46" s="71"/>
      <x:c r="B46" s="72"/>
      <x:c r="C46" s="72"/>
      <x:c r="D46" s="72"/>
      <x:c r="E46" s="72"/>
      <x:c r="F46" s="71"/>
      <x:c r="G46" s="73"/>
      <x:c r="H46" s="73"/>
      <x:c r="I46" s="73"/>
      <x:c r="J46" s="73"/>
      <x:c r="K46" s="73"/>
      <x:c r="L46" s="72"/>
      <x:c r="M46" s="72"/>
      <x:c r="N46" s="72"/>
    </x:row>
    <x:row r="47">
      <x:c r="A47" s="71"/>
      <x:c r="B47" s="72"/>
      <x:c r="C47" s="72"/>
      <x:c r="D47" s="72"/>
      <x:c r="E47" s="72"/>
      <x:c r="F47" s="71"/>
      <x:c r="G47" s="73"/>
      <x:c r="H47" s="73"/>
      <x:c r="I47" s="73"/>
      <x:c r="J47" s="73"/>
      <x:c r="K47" s="73"/>
      <x:c r="L47" s="72"/>
      <x:c r="M47" s="72"/>
      <x:c r="N47" s="72"/>
    </x:row>
    <x:row r="48">
      <x:c r="A48" s="71"/>
      <x:c r="B48" s="72"/>
      <x:c r="C48" s="72"/>
      <x:c r="D48" s="72"/>
      <x:c r="E48" s="72"/>
      <x:c r="F48" s="71"/>
      <x:c r="G48" s="73"/>
      <x:c r="H48" s="73"/>
      <x:c r="I48" s="73"/>
      <x:c r="J48" s="73"/>
      <x:c r="K48" s="73"/>
      <x:c r="L48" s="72"/>
      <x:c r="M48" s="72"/>
      <x:c r="N48" s="72"/>
    </x:row>
    <x:row r="49">
      <x:c r="A49" s="71"/>
      <x:c r="B49" s="72"/>
      <x:c r="C49" s="72"/>
      <x:c r="D49" s="72"/>
      <x:c r="E49" s="72"/>
      <x:c r="F49" s="71"/>
      <x:c r="G49" s="73"/>
      <x:c r="H49" s="73"/>
      <x:c r="I49" s="73"/>
      <x:c r="J49" s="73"/>
      <x:c r="K49" s="73"/>
      <x:c r="L49" s="72"/>
      <x:c r="M49" s="72"/>
      <x:c r="N49" s="72"/>
    </x:row>
    <x:row r="50">
      <x:c r="A50" s="71"/>
      <x:c r="B50" s="72"/>
      <x:c r="C50" s="72"/>
      <x:c r="D50" s="72"/>
      <x:c r="E50" s="72"/>
      <x:c r="F50" s="71"/>
      <x:c r="G50" s="73"/>
      <x:c r="H50" s="73"/>
      <x:c r="I50" s="73"/>
      <x:c r="J50" s="73"/>
      <x:c r="K50" s="73"/>
      <x:c r="L50" s="72"/>
      <x:c r="M50" s="72"/>
      <x:c r="N50" s="72"/>
    </x:row>
    <x:row r="51">
      <x:c r="A51" s="71"/>
      <x:c r="B51" s="72"/>
      <x:c r="C51" s="72"/>
      <x:c r="D51" s="72"/>
      <x:c r="E51" s="72"/>
      <x:c r="F51" s="71"/>
      <x:c r="G51" s="73"/>
      <x:c r="H51" s="73"/>
      <x:c r="I51" s="73"/>
      <x:c r="J51" s="73"/>
      <x:c r="K51" s="73"/>
      <x:c r="L51" s="72"/>
      <x:c r="M51" s="72"/>
      <x:c r="N51" s="72"/>
    </x:row>
    <x:row r="52">
      <x:c r="A52" s="71"/>
      <x:c r="B52" s="72"/>
      <x:c r="C52" s="72"/>
      <x:c r="D52" s="72"/>
      <x:c r="E52" s="72"/>
      <x:c r="F52" s="71"/>
      <x:c r="G52" s="73"/>
      <x:c r="H52" s="73"/>
      <x:c r="I52" s="73"/>
      <x:c r="J52" s="73"/>
      <x:c r="K52" s="73"/>
      <x:c r="L52" s="72"/>
      <x:c r="M52" s="72"/>
      <x:c r="N52" s="72"/>
    </x:row>
    <x:row r="53">
      <x:c r="A53" s="71"/>
      <x:c r="B53" s="72"/>
      <x:c r="C53" s="72"/>
      <x:c r="D53" s="72"/>
      <x:c r="E53" s="72"/>
      <x:c r="F53" s="71"/>
      <x:c r="G53" s="73"/>
      <x:c r="H53" s="73"/>
      <x:c r="I53" s="73"/>
      <x:c r="J53" s="73"/>
      <x:c r="K53" s="73"/>
      <x:c r="L53" s="72"/>
      <x:c r="M53" s="72"/>
      <x:c r="N53" s="72"/>
    </x:row>
    <x:row r="54">
      <x:c r="A54" s="71"/>
      <x:c r="B54" s="72"/>
      <x:c r="C54" s="72"/>
      <x:c r="D54" s="72"/>
      <x:c r="E54" s="72"/>
      <x:c r="F54" s="71"/>
      <x:c r="G54" s="73"/>
      <x:c r="H54" s="73"/>
      <x:c r="I54" s="73"/>
      <x:c r="J54" s="73"/>
      <x:c r="K54" s="73"/>
      <x:c r="L54" s="72"/>
      <x:c r="M54" s="72"/>
      <x:c r="N54" s="72"/>
    </x:row>
    <x:row r="55">
      <x:c r="A55" s="71"/>
      <x:c r="B55" s="72"/>
      <x:c r="C55" s="72"/>
      <x:c r="D55" s="72"/>
      <x:c r="E55" s="72"/>
      <x:c r="F55" s="71"/>
      <x:c r="G55" s="73"/>
      <x:c r="H55" s="73"/>
      <x:c r="I55" s="73"/>
      <x:c r="J55" s="73"/>
      <x:c r="K55" s="73"/>
      <x:c r="L55" s="72"/>
      <x:c r="M55" s="72"/>
      <x:c r="N55" s="72"/>
    </x:row>
    <x:row r="56">
      <x:c r="A56" s="71"/>
      <x:c r="B56" s="72"/>
      <x:c r="C56" s="72"/>
      <x:c r="D56" s="72"/>
      <x:c r="E56" s="72"/>
      <x:c r="F56" s="71"/>
      <x:c r="G56" s="73"/>
      <x:c r="H56" s="73"/>
      <x:c r="I56" s="73"/>
      <x:c r="J56" s="73"/>
      <x:c r="K56" s="73"/>
      <x:c r="L56" s="72"/>
      <x:c r="M56" s="72"/>
      <x:c r="N56" s="72"/>
    </x:row>
    <x:row r="57">
      <x:c r="A57" s="71"/>
      <x:c r="B57" s="72"/>
      <x:c r="C57" s="72"/>
      <x:c r="D57" s="72"/>
      <x:c r="E57" s="72"/>
      <x:c r="F57" s="71"/>
      <x:c r="G57" s="73"/>
      <x:c r="H57" s="73"/>
      <x:c r="I57" s="73"/>
      <x:c r="J57" s="73"/>
      <x:c r="K57" s="73"/>
      <x:c r="L57" s="72"/>
      <x:c r="M57" s="72"/>
      <x:c r="N57" s="72"/>
    </x:row>
    <x:row r="58">
      <x:c r="A58" s="71"/>
      <x:c r="B58" s="72"/>
      <x:c r="C58" s="72"/>
      <x:c r="D58" s="72"/>
      <x:c r="E58" s="72"/>
      <x:c r="F58" s="71"/>
      <x:c r="G58" s="73"/>
      <x:c r="H58" s="73"/>
      <x:c r="I58" s="73"/>
      <x:c r="J58" s="73"/>
      <x:c r="K58" s="73"/>
      <x:c r="L58" s="72"/>
      <x:c r="M58" s="72"/>
      <x:c r="N58" s="72"/>
    </x:row>
    <x:row r="59">
      <x:c r="A59" s="71"/>
      <x:c r="B59" s="72"/>
      <x:c r="C59" s="72"/>
      <x:c r="D59" s="72"/>
      <x:c r="E59" s="72"/>
      <x:c r="F59" s="71"/>
      <x:c r="G59" s="73"/>
      <x:c r="H59" s="73"/>
      <x:c r="I59" s="73"/>
      <x:c r="J59" s="73"/>
      <x:c r="K59" s="73"/>
      <x:c r="L59" s="72"/>
      <x:c r="M59" s="72"/>
      <x:c r="N59" s="72"/>
    </x:row>
    <x:row r="60">
      <x:c r="A60" s="71"/>
      <x:c r="B60" s="72"/>
      <x:c r="C60" s="72"/>
      <x:c r="D60" s="72"/>
      <x:c r="E60" s="72"/>
      <x:c r="F60" s="71"/>
      <x:c r="G60" s="73"/>
      <x:c r="H60" s="73"/>
      <x:c r="I60" s="73"/>
      <x:c r="J60" s="73"/>
      <x:c r="K60" s="73"/>
      <x:c r="L60" s="72"/>
      <x:c r="M60" s="72"/>
      <x:c r="N60" s="72"/>
    </x:row>
    <x:row r="61">
      <x:c r="A61" s="71"/>
      <x:c r="B61" s="72"/>
      <x:c r="C61" s="72"/>
      <x:c r="D61" s="72"/>
      <x:c r="E61" s="72"/>
      <x:c r="F61" s="71"/>
      <x:c r="G61" s="73"/>
      <x:c r="H61" s="73"/>
      <x:c r="I61" s="73"/>
      <x:c r="J61" s="73"/>
      <x:c r="K61" s="73"/>
      <x:c r="L61" s="72"/>
      <x:c r="M61" s="72"/>
      <x:c r="N61" s="72"/>
    </x:row>
    <x:row r="62">
      <x:c r="A62" s="71"/>
      <x:c r="B62" s="72"/>
      <x:c r="C62" s="72"/>
      <x:c r="D62" s="72"/>
      <x:c r="E62" s="72"/>
      <x:c r="F62" s="71"/>
      <x:c r="G62" s="73"/>
      <x:c r="H62" s="73"/>
      <x:c r="I62" s="73"/>
      <x:c r="J62" s="73"/>
      <x:c r="K62" s="73"/>
      <x:c r="L62" s="72"/>
      <x:c r="M62" s="72"/>
      <x:c r="N62" s="72"/>
    </x:row>
    <x:row r="63">
      <x:c r="A63" s="71"/>
      <x:c r="B63" s="72"/>
      <x:c r="C63" s="72"/>
      <x:c r="D63" s="72"/>
      <x:c r="E63" s="72"/>
      <x:c r="F63" s="71"/>
      <x:c r="G63" s="73"/>
      <x:c r="H63" s="73"/>
      <x:c r="I63" s="73"/>
      <x:c r="J63" s="73"/>
      <x:c r="K63" s="73"/>
      <x:c r="L63" s="72"/>
      <x:c r="M63" s="72"/>
      <x:c r="N63" s="72"/>
    </x:row>
    <x:row r="64">
      <x:c r="A64" s="71"/>
      <x:c r="B64" s="72"/>
      <x:c r="C64" s="72"/>
      <x:c r="D64" s="72"/>
      <x:c r="E64" s="72"/>
      <x:c r="F64" s="71"/>
      <x:c r="G64" s="73"/>
      <x:c r="H64" s="73"/>
      <x:c r="I64" s="73"/>
      <x:c r="J64" s="73"/>
      <x:c r="K64" s="73"/>
      <x:c r="L64" s="72"/>
      <x:c r="M64" s="72"/>
      <x:c r="N64" s="72"/>
    </x:row>
    <x:row r="65">
      <x:c r="A65" s="71"/>
      <x:c r="B65" s="72"/>
      <x:c r="C65" s="72"/>
      <x:c r="D65" s="72"/>
      <x:c r="E65" s="72"/>
      <x:c r="F65" s="71"/>
      <x:c r="G65" s="73"/>
      <x:c r="H65" s="73"/>
      <x:c r="I65" s="73"/>
      <x:c r="J65" s="73"/>
      <x:c r="K65" s="73"/>
      <x:c r="L65" s="72"/>
      <x:c r="M65" s="72"/>
      <x:c r="N65" s="72"/>
    </x:row>
    <x:row r="66">
      <x:c r="A66" s="71"/>
      <x:c r="B66" s="72"/>
      <x:c r="C66" s="72"/>
      <x:c r="D66" s="72"/>
      <x:c r="E66" s="72"/>
      <x:c r="F66" s="71"/>
      <x:c r="G66" s="73"/>
      <x:c r="H66" s="73"/>
      <x:c r="I66" s="73"/>
      <x:c r="J66" s="73"/>
      <x:c r="K66" s="73"/>
      <x:c r="L66" s="72"/>
      <x:c r="M66" s="72"/>
      <x:c r="N66" s="72"/>
    </x:row>
    <x:row r="67">
      <x:c r="A67" s="71"/>
      <x:c r="B67" s="72"/>
      <x:c r="C67" s="72"/>
      <x:c r="D67" s="72"/>
      <x:c r="E67" s="72"/>
      <x:c r="F67" s="71"/>
      <x:c r="G67" s="73"/>
      <x:c r="H67" s="73"/>
      <x:c r="I67" s="73"/>
      <x:c r="J67" s="73"/>
      <x:c r="K67" s="73"/>
      <x:c r="L67" s="72"/>
      <x:c r="M67" s="72"/>
      <x:c r="N67" s="72"/>
    </x:row>
    <x:row r="68">
      <x:c r="A68" s="71"/>
      <x:c r="B68" s="72"/>
      <x:c r="C68" s="72"/>
      <x:c r="D68" s="72"/>
      <x:c r="E68" s="72"/>
      <x:c r="F68" s="71"/>
      <x:c r="G68" s="73"/>
      <x:c r="H68" s="73"/>
      <x:c r="I68" s="73"/>
      <x:c r="J68" s="73"/>
      <x:c r="K68" s="73"/>
      <x:c r="L68" s="72"/>
      <x:c r="M68" s="72"/>
      <x:c r="N68" s="72"/>
    </x:row>
    <x:row r="69">
      <x:c r="A69" s="71"/>
      <x:c r="B69" s="72"/>
      <x:c r="C69" s="72"/>
      <x:c r="D69" s="72"/>
      <x:c r="E69" s="72"/>
      <x:c r="F69" s="71"/>
      <x:c r="G69" s="73"/>
      <x:c r="H69" s="73"/>
      <x:c r="I69" s="73"/>
      <x:c r="J69" s="73"/>
      <x:c r="K69" s="73"/>
      <x:c r="L69" s="72"/>
      <x:c r="M69" s="72"/>
      <x:c r="N69" s="72"/>
    </x:row>
    <x:row r="70">
      <x:c r="A70" s="71"/>
      <x:c r="B70" s="72"/>
      <x:c r="C70" s="72"/>
      <x:c r="D70" s="72"/>
      <x:c r="E70" s="72"/>
      <x:c r="F70" s="71"/>
      <x:c r="G70" s="73"/>
      <x:c r="H70" s="73"/>
      <x:c r="I70" s="73"/>
      <x:c r="J70" s="73"/>
      <x:c r="K70" s="73"/>
      <x:c r="L70" s="72"/>
      <x:c r="M70" s="72"/>
      <x:c r="N70" s="72"/>
    </x:row>
    <x:row r="71">
      <x:c r="A71" s="71"/>
      <x:c r="B71" s="72"/>
      <x:c r="C71" s="72"/>
      <x:c r="D71" s="72"/>
      <x:c r="E71" s="72"/>
      <x:c r="F71" s="71"/>
      <x:c r="G71" s="73"/>
      <x:c r="H71" s="73"/>
      <x:c r="I71" s="73"/>
      <x:c r="J71" s="73"/>
      <x:c r="K71" s="73"/>
      <x:c r="L71" s="72"/>
      <x:c r="M71" s="72"/>
      <x:c r="N71" s="72"/>
    </x:row>
    <x:row r="72">
      <x:c r="A72" s="71"/>
      <x:c r="B72" s="72"/>
      <x:c r="C72" s="72"/>
      <x:c r="D72" s="72"/>
      <x:c r="E72" s="72"/>
      <x:c r="F72" s="71"/>
      <x:c r="G72" s="73"/>
      <x:c r="H72" s="73"/>
      <x:c r="I72" s="73"/>
      <x:c r="J72" s="73"/>
      <x:c r="K72" s="73"/>
      <x:c r="L72" s="72"/>
      <x:c r="M72" s="72"/>
      <x:c r="N72" s="72"/>
    </x:row>
    <x:row r="73">
      <x:c r="A73" s="71"/>
      <x:c r="B73" s="72"/>
      <x:c r="C73" s="72"/>
      <x:c r="D73" s="72"/>
      <x:c r="E73" s="72"/>
      <x:c r="F73" s="71"/>
      <x:c r="G73" s="73"/>
      <x:c r="H73" s="73"/>
      <x:c r="I73" s="73"/>
      <x:c r="J73" s="73"/>
      <x:c r="K73" s="73"/>
      <x:c r="L73" s="72"/>
      <x:c r="M73" s="72"/>
      <x:c r="N73" s="72"/>
    </x:row>
    <x:row r="74">
      <x:c r="A74" s="71"/>
      <x:c r="B74" s="72"/>
      <x:c r="C74" s="72"/>
      <x:c r="D74" s="72"/>
      <x:c r="E74" s="72"/>
      <x:c r="F74" s="71"/>
      <x:c r="G74" s="73"/>
      <x:c r="H74" s="73"/>
      <x:c r="I74" s="73"/>
      <x:c r="J74" s="73"/>
      <x:c r="K74" s="73"/>
      <x:c r="L74" s="72"/>
      <x:c r="M74" s="72"/>
      <x:c r="N74" s="72"/>
    </x:row>
    <x:row r="75">
      <x:c r="A75" s="71"/>
      <x:c r="B75" s="72"/>
      <x:c r="C75" s="72"/>
      <x:c r="D75" s="72"/>
      <x:c r="E75" s="72"/>
      <x:c r="F75" s="71"/>
      <x:c r="G75" s="73"/>
      <x:c r="H75" s="73"/>
      <x:c r="I75" s="73"/>
      <x:c r="J75" s="73"/>
      <x:c r="K75" s="73"/>
      <x:c r="L75" s="72"/>
      <x:c r="M75" s="72"/>
      <x:c r="N75" s="72"/>
    </x:row>
    <x:row r="76">
      <x:c r="A76" s="71"/>
      <x:c r="B76" s="72"/>
      <x:c r="C76" s="72"/>
      <x:c r="D76" s="72"/>
      <x:c r="E76" s="72"/>
      <x:c r="F76" s="71"/>
      <x:c r="G76" s="73"/>
      <x:c r="H76" s="73"/>
      <x:c r="I76" s="73"/>
      <x:c r="J76" s="73"/>
      <x:c r="K76" s="73"/>
      <x:c r="L76" s="72"/>
      <x:c r="M76" s="72"/>
      <x:c r="N76" s="72"/>
    </x:row>
    <x:row r="77">
      <x:c r="A77" s="71"/>
      <x:c r="B77" s="72"/>
      <x:c r="C77" s="72"/>
      <x:c r="D77" s="72"/>
      <x:c r="E77" s="72"/>
      <x:c r="F77" s="71"/>
      <x:c r="G77" s="73"/>
      <x:c r="H77" s="73"/>
      <x:c r="I77" s="73"/>
      <x:c r="J77" s="73"/>
      <x:c r="K77" s="73"/>
      <x:c r="L77" s="72"/>
      <x:c r="M77" s="72"/>
      <x:c r="N77" s="72"/>
    </x:row>
    <x:row r="78">
      <x:c r="A78" s="71"/>
      <x:c r="B78" s="72"/>
      <x:c r="C78" s="72"/>
      <x:c r="D78" s="72"/>
      <x:c r="E78" s="72"/>
      <x:c r="F78" s="71"/>
      <x:c r="G78" s="73"/>
      <x:c r="H78" s="73"/>
      <x:c r="I78" s="73"/>
      <x:c r="J78" s="73"/>
      <x:c r="K78" s="73"/>
      <x:c r="L78" s="72"/>
      <x:c r="M78" s="72"/>
      <x:c r="N78" s="72"/>
    </x:row>
    <x:row r="79">
      <x:c r="A79" s="71"/>
      <x:c r="B79" s="72"/>
      <x:c r="C79" s="72"/>
      <x:c r="D79" s="72"/>
      <x:c r="E79" s="72"/>
      <x:c r="F79" s="71"/>
      <x:c r="G79" s="73"/>
      <x:c r="H79" s="73"/>
      <x:c r="I79" s="73"/>
      <x:c r="J79" s="73"/>
      <x:c r="K79" s="73"/>
      <x:c r="L79" s="72"/>
      <x:c r="M79" s="72"/>
      <x:c r="N79" s="72"/>
    </x:row>
    <x:row r="80">
      <x:c r="A80" s="71"/>
      <x:c r="B80" s="72"/>
      <x:c r="C80" s="72"/>
      <x:c r="D80" s="72"/>
      <x:c r="E80" s="72"/>
      <x:c r="F80" s="71"/>
      <x:c r="G80" s="73"/>
      <x:c r="H80" s="73"/>
      <x:c r="I80" s="73"/>
      <x:c r="J80" s="73"/>
      <x:c r="K80" s="73"/>
      <x:c r="L80" s="72"/>
      <x:c r="M80" s="72"/>
      <x:c r="N80" s="72"/>
    </x:row>
    <x:row r="81">
      <x:c r="A81" s="71"/>
      <x:c r="B81" s="72"/>
      <x:c r="C81" s="72"/>
      <x:c r="D81" s="72"/>
      <x:c r="E81" s="72"/>
      <x:c r="F81" s="71"/>
      <x:c r="G81" s="73"/>
      <x:c r="H81" s="73"/>
      <x:c r="I81" s="73"/>
      <x:c r="J81" s="73"/>
      <x:c r="K81" s="73"/>
      <x:c r="L81" s="72"/>
      <x:c r="M81" s="72"/>
      <x:c r="N81" s="72"/>
    </x:row>
    <x:row r="82">
      <x:c r="A82" s="71"/>
      <x:c r="B82" s="72"/>
      <x:c r="C82" s="72"/>
      <x:c r="D82" s="72"/>
      <x:c r="E82" s="72"/>
      <x:c r="F82" s="71"/>
      <x:c r="G82" s="73"/>
      <x:c r="H82" s="73"/>
      <x:c r="I82" s="73"/>
      <x:c r="J82" s="73"/>
      <x:c r="K82" s="73"/>
      <x:c r="L82" s="72"/>
      <x:c r="M82" s="72"/>
      <x:c r="N82" s="72"/>
    </x:row>
    <x:row r="83">
      <x:c r="A83" s="71"/>
      <x:c r="B83" s="72"/>
      <x:c r="C83" s="72"/>
      <x:c r="D83" s="72"/>
      <x:c r="E83" s="72"/>
      <x:c r="F83" s="71"/>
      <x:c r="G83" s="73"/>
      <x:c r="H83" s="73"/>
      <x:c r="I83" s="73"/>
      <x:c r="J83" s="73"/>
      <x:c r="K83" s="73"/>
      <x:c r="L83" s="72"/>
      <x:c r="M83" s="72"/>
      <x:c r="N83" s="72"/>
    </x:row>
    <x:row r="84">
      <x:c r="A84" s="71"/>
      <x:c r="B84" s="72"/>
      <x:c r="C84" s="72"/>
      <x:c r="D84" s="72"/>
      <x:c r="E84" s="72"/>
      <x:c r="F84" s="71"/>
      <x:c r="G84" s="73"/>
      <x:c r="H84" s="73"/>
      <x:c r="I84" s="73"/>
      <x:c r="J84" s="73"/>
      <x:c r="K84" s="73"/>
      <x:c r="L84" s="72"/>
      <x:c r="M84" s="72"/>
      <x:c r="N84" s="72"/>
    </x:row>
    <x:row r="85">
      <x:c r="A85" s="71"/>
      <x:c r="B85" s="72"/>
      <x:c r="C85" s="72"/>
      <x:c r="D85" s="72"/>
      <x:c r="E85" s="72"/>
      <x:c r="F85" s="71"/>
      <x:c r="G85" s="73"/>
      <x:c r="H85" s="73"/>
      <x:c r="I85" s="73"/>
      <x:c r="J85" s="73"/>
      <x:c r="K85" s="73"/>
      <x:c r="L85" s="72"/>
      <x:c r="M85" s="72"/>
      <x:c r="N85" s="72"/>
    </x:row>
    <x:row r="86">
      <x:c r="A86" s="71"/>
      <x:c r="B86" s="72"/>
      <x:c r="C86" s="72"/>
      <x:c r="D86" s="72"/>
      <x:c r="E86" s="72"/>
      <x:c r="F86" s="71"/>
      <x:c r="G86" s="73"/>
      <x:c r="H86" s="73"/>
      <x:c r="I86" s="73"/>
      <x:c r="J86" s="73"/>
      <x:c r="K86" s="73"/>
      <x:c r="L86" s="72"/>
      <x:c r="M86" s="72"/>
      <x:c r="N86" s="72"/>
    </x:row>
    <x:row r="87">
      <x:c r="A87" s="71"/>
      <x:c r="B87" s="72"/>
      <x:c r="C87" s="72"/>
      <x:c r="D87" s="72"/>
      <x:c r="E87" s="72"/>
      <x:c r="F87" s="71"/>
      <x:c r="G87" s="73"/>
      <x:c r="H87" s="73"/>
      <x:c r="I87" s="73"/>
      <x:c r="J87" s="73"/>
      <x:c r="K87" s="73"/>
      <x:c r="L87" s="72"/>
      <x:c r="M87" s="72"/>
      <x:c r="N87" s="72"/>
    </x:row>
    <x:row r="88">
      <x:c r="A88" s="71"/>
      <x:c r="B88" s="72"/>
      <x:c r="C88" s="72"/>
      <x:c r="D88" s="72"/>
      <x:c r="E88" s="72"/>
      <x:c r="F88" s="71"/>
      <x:c r="G88" s="73"/>
      <x:c r="H88" s="73"/>
      <x:c r="I88" s="73"/>
      <x:c r="J88" s="73"/>
      <x:c r="K88" s="73"/>
      <x:c r="L88" s="72"/>
      <x:c r="M88" s="72"/>
      <x:c r="N88" s="72"/>
    </x:row>
    <x:row r="89">
      <x:c r="A89" s="71"/>
      <x:c r="B89" s="72"/>
      <x:c r="C89" s="72"/>
      <x:c r="D89" s="72"/>
      <x:c r="E89" s="72"/>
      <x:c r="F89" s="71"/>
      <x:c r="G89" s="73"/>
      <x:c r="H89" s="73"/>
      <x:c r="I89" s="73"/>
      <x:c r="J89" s="73"/>
      <x:c r="K89" s="73"/>
      <x:c r="L89" s="72"/>
      <x:c r="M89" s="72"/>
      <x:c r="N89" s="72"/>
    </x:row>
    <x:row r="90">
      <x:c r="A90" s="71"/>
      <x:c r="B90" s="72"/>
      <x:c r="C90" s="72"/>
      <x:c r="D90" s="72"/>
      <x:c r="E90" s="72"/>
      <x:c r="F90" s="71"/>
      <x:c r="G90" s="73"/>
      <x:c r="H90" s="73"/>
      <x:c r="I90" s="73"/>
      <x:c r="J90" s="73"/>
      <x:c r="K90" s="73"/>
      <x:c r="L90" s="72"/>
      <x:c r="M90" s="72"/>
      <x:c r="N90" s="72"/>
    </x:row>
    <x:row r="91">
      <x:c r="A91" s="71"/>
      <x:c r="B91" s="72"/>
      <x:c r="C91" s="72"/>
      <x:c r="D91" s="72"/>
      <x:c r="E91" s="72"/>
      <x:c r="F91" s="71"/>
      <x:c r="G91" s="73"/>
      <x:c r="H91" s="73"/>
      <x:c r="I91" s="73"/>
      <x:c r="J91" s="73"/>
      <x:c r="K91" s="73"/>
      <x:c r="L91" s="72"/>
      <x:c r="M91" s="72"/>
      <x:c r="N91" s="72"/>
    </x:row>
    <x:row r="92">
      <x:c r="A92" s="71"/>
      <x:c r="B92" s="72"/>
      <x:c r="C92" s="72"/>
      <x:c r="D92" s="72"/>
      <x:c r="E92" s="72"/>
      <x:c r="F92" s="71"/>
      <x:c r="G92" s="73"/>
      <x:c r="H92" s="73"/>
      <x:c r="I92" s="73"/>
      <x:c r="J92" s="73"/>
      <x:c r="K92" s="73"/>
      <x:c r="L92" s="72"/>
      <x:c r="M92" s="72"/>
      <x:c r="N92" s="72"/>
    </x:row>
    <x:row r="93">
      <x:c r="A93" s="71"/>
      <x:c r="B93" s="72"/>
      <x:c r="C93" s="72"/>
      <x:c r="D93" s="72"/>
      <x:c r="E93" s="72"/>
      <x:c r="F93" s="71"/>
      <x:c r="G93" s="73"/>
      <x:c r="H93" s="73"/>
      <x:c r="I93" s="73"/>
      <x:c r="J93" s="73"/>
      <x:c r="K93" s="73"/>
      <x:c r="L93" s="72"/>
      <x:c r="M93" s="72"/>
      <x:c r="N93" s="72"/>
    </x:row>
    <x:row r="94">
      <x:c r="A94" s="71"/>
      <x:c r="B94" s="72"/>
      <x:c r="C94" s="72"/>
      <x:c r="D94" s="72"/>
      <x:c r="E94" s="72"/>
      <x:c r="F94" s="71"/>
      <x:c r="G94" s="73"/>
      <x:c r="H94" s="73"/>
      <x:c r="I94" s="73"/>
      <x:c r="J94" s="73"/>
      <x:c r="K94" s="73"/>
      <x:c r="L94" s="72"/>
      <x:c r="M94" s="72"/>
      <x:c r="N94" s="72"/>
    </x:row>
    <x:row r="95">
      <x:c r="A95" s="71"/>
      <x:c r="B95" s="72"/>
      <x:c r="C95" s="72"/>
      <x:c r="D95" s="72"/>
      <x:c r="E95" s="72"/>
      <x:c r="F95" s="71"/>
      <x:c r="G95" s="73"/>
      <x:c r="H95" s="73"/>
      <x:c r="I95" s="73"/>
      <x:c r="J95" s="73"/>
      <x:c r="K95" s="73"/>
      <x:c r="L95" s="72"/>
      <x:c r="M95" s="72"/>
      <x:c r="N95" s="72"/>
    </x:row>
    <x:row r="96">
      <x:c r="A96" s="71"/>
      <x:c r="B96" s="72"/>
      <x:c r="C96" s="72"/>
      <x:c r="D96" s="72"/>
      <x:c r="E96" s="72"/>
      <x:c r="F96" s="71"/>
      <x:c r="G96" s="73"/>
      <x:c r="H96" s="73"/>
      <x:c r="I96" s="73"/>
      <x:c r="J96" s="73"/>
      <x:c r="K96" s="73"/>
      <x:c r="L96" s="72"/>
      <x:c r="M96" s="72"/>
      <x:c r="N96" s="72"/>
    </x:row>
    <x:row r="97">
      <x:c r="A97" s="71"/>
      <x:c r="B97" s="72"/>
      <x:c r="C97" s="72"/>
      <x:c r="D97" s="72"/>
      <x:c r="E97" s="72"/>
      <x:c r="F97" s="71"/>
      <x:c r="G97" s="73"/>
      <x:c r="H97" s="73"/>
      <x:c r="I97" s="73"/>
      <x:c r="J97" s="73"/>
      <x:c r="K97" s="73"/>
      <x:c r="L97" s="72"/>
      <x:c r="M97" s="72"/>
      <x:c r="N97" s="72"/>
    </x:row>
    <x:row r="98">
      <x:c r="A98" s="71"/>
      <x:c r="B98" s="72"/>
      <x:c r="C98" s="72"/>
      <x:c r="D98" s="72"/>
      <x:c r="E98" s="72"/>
      <x:c r="F98" s="71"/>
      <x:c r="G98" s="73"/>
      <x:c r="H98" s="73"/>
      <x:c r="I98" s="73"/>
      <x:c r="J98" s="73"/>
      <x:c r="K98" s="73"/>
      <x:c r="L98" s="72"/>
      <x:c r="M98" s="72"/>
      <x:c r="N98" s="72"/>
    </x:row>
    <x:row r="99">
      <x:c r="A99" s="71"/>
      <x:c r="B99" s="72"/>
      <x:c r="C99" s="72"/>
      <x:c r="D99" s="72"/>
      <x:c r="E99" s="72"/>
      <x:c r="F99" s="71"/>
      <x:c r="G99" s="73"/>
      <x:c r="H99" s="73"/>
      <x:c r="I99" s="73"/>
      <x:c r="J99" s="73"/>
      <x:c r="K99" s="73"/>
      <x:c r="L99" s="72"/>
      <x:c r="M99" s="72"/>
      <x:c r="N99" s="72"/>
    </x:row>
    <x:row r="100">
      <x:c r="A100" s="71"/>
      <x:c r="B100" s="72"/>
      <x:c r="C100" s="72"/>
      <x:c r="D100" s="72"/>
      <x:c r="E100" s="72"/>
      <x:c r="F100" s="71"/>
      <x:c r="G100" s="73"/>
      <x:c r="H100" s="73"/>
      <x:c r="I100" s="73"/>
      <x:c r="J100" s="73"/>
      <x:c r="K100" s="73"/>
      <x:c r="L100" s="72"/>
      <x:c r="M100" s="72"/>
      <x:c r="N100" s="72"/>
    </x:row>
    <x:row r="101">
      <x:c r="A101" s="71"/>
      <x:c r="B101" s="72"/>
      <x:c r="C101" s="72"/>
      <x:c r="D101" s="72"/>
      <x:c r="E101" s="72"/>
      <x:c r="F101" s="71"/>
      <x:c r="G101" s="73"/>
      <x:c r="H101" s="73"/>
      <x:c r="I101" s="73"/>
      <x:c r="J101" s="73"/>
      <x:c r="K101" s="73"/>
      <x:c r="L101" s="72"/>
      <x:c r="M101" s="72"/>
      <x:c r="N101" s="72"/>
    </x:row>
    <x:row r="102">
      <x:c r="A102" s="71"/>
      <x:c r="B102" s="72"/>
      <x:c r="C102" s="72"/>
      <x:c r="D102" s="72"/>
      <x:c r="E102" s="72"/>
      <x:c r="F102" s="71"/>
      <x:c r="G102" s="73"/>
      <x:c r="H102" s="73"/>
      <x:c r="I102" s="73"/>
      <x:c r="J102" s="73"/>
      <x:c r="K102" s="73"/>
      <x:c r="L102" s="72"/>
      <x:c r="M102" s="72"/>
      <x:c r="N102" s="72"/>
    </x:row>
    <x:row r="103">
      <x:c r="A103" s="71"/>
      <x:c r="B103" s="72"/>
      <x:c r="C103" s="72"/>
      <x:c r="D103" s="72"/>
      <x:c r="E103" s="72"/>
      <x:c r="F103" s="71"/>
      <x:c r="G103" s="73"/>
      <x:c r="H103" s="73"/>
      <x:c r="I103" s="73"/>
      <x:c r="J103" s="73"/>
      <x:c r="K103" s="73"/>
      <x:c r="L103" s="72"/>
      <x:c r="M103" s="72"/>
      <x:c r="N103" s="72"/>
    </x:row>
    <x:row r="104">
      <x:c r="A104" s="71"/>
      <x:c r="B104" s="72"/>
      <x:c r="C104" s="72"/>
      <x:c r="D104" s="72"/>
      <x:c r="E104" s="72"/>
      <x:c r="F104" s="71"/>
      <x:c r="G104" s="73"/>
      <x:c r="H104" s="73"/>
      <x:c r="I104" s="73"/>
      <x:c r="J104" s="73"/>
      <x:c r="K104" s="73"/>
      <x:c r="L104" s="72"/>
      <x:c r="M104" s="72"/>
      <x:c r="N104" s="72"/>
    </x:row>
    <x:row r="105">
      <x:c r="A105" s="71"/>
      <x:c r="B105" s="72"/>
      <x:c r="C105" s="72"/>
      <x:c r="D105" s="72"/>
      <x:c r="E105" s="72"/>
      <x:c r="F105" s="71"/>
      <x:c r="G105" s="73"/>
      <x:c r="H105" s="73"/>
      <x:c r="I105" s="73"/>
      <x:c r="J105" s="73"/>
      <x:c r="K105" s="73"/>
      <x:c r="L105" s="72"/>
      <x:c r="M105" s="72"/>
      <x:c r="N105" s="72"/>
    </x:row>
    <x:row r="106">
      <x:c r="A106" s="71"/>
      <x:c r="B106" s="72"/>
      <x:c r="C106" s="72"/>
      <x:c r="D106" s="72"/>
      <x:c r="E106" s="72"/>
      <x:c r="F106" s="71"/>
      <x:c r="G106" s="73"/>
      <x:c r="H106" s="73"/>
      <x:c r="I106" s="73"/>
      <x:c r="J106" s="73"/>
      <x:c r="K106" s="73"/>
      <x:c r="L106" s="72"/>
      <x:c r="M106" s="72"/>
      <x:c r="N106" s="72"/>
    </x:row>
    <x:row r="107">
      <x:c r="A107" s="71"/>
      <x:c r="B107" s="72"/>
      <x:c r="C107" s="72"/>
      <x:c r="D107" s="72"/>
      <x:c r="E107" s="72"/>
      <x:c r="F107" s="71"/>
      <x:c r="G107" s="73"/>
      <x:c r="H107" s="73"/>
      <x:c r="I107" s="73"/>
      <x:c r="J107" s="73"/>
      <x:c r="K107" s="73"/>
      <x:c r="L107" s="72"/>
      <x:c r="M107" s="72"/>
      <x:c r="N107" s="72"/>
    </x:row>
    <x:row r="108">
      <x:c r="A108" s="71"/>
      <x:c r="B108" s="72"/>
      <x:c r="C108" s="72"/>
      <x:c r="D108" s="72"/>
      <x:c r="E108" s="72"/>
      <x:c r="F108" s="71"/>
      <x:c r="G108" s="73"/>
      <x:c r="H108" s="73"/>
      <x:c r="I108" s="73"/>
      <x:c r="J108" s="73"/>
      <x:c r="K108" s="73"/>
      <x:c r="L108" s="72"/>
      <x:c r="M108" s="72"/>
      <x:c r="N108" s="72"/>
    </x:row>
    <x:row r="109">
      <x:c r="A109" s="71"/>
      <x:c r="B109" s="72"/>
      <x:c r="C109" s="72"/>
      <x:c r="D109" s="72"/>
      <x:c r="E109" s="72"/>
      <x:c r="F109" s="71"/>
      <x:c r="G109" s="73"/>
      <x:c r="H109" s="73"/>
      <x:c r="I109" s="73"/>
      <x:c r="J109" s="73"/>
      <x:c r="K109" s="73"/>
      <x:c r="L109" s="72"/>
      <x:c r="M109" s="72"/>
      <x:c r="N109" s="72"/>
    </x:row>
    <x:row r="110">
      <x:c r="A110" s="71"/>
      <x:c r="B110" s="72"/>
      <x:c r="C110" s="72"/>
      <x:c r="D110" s="72"/>
      <x:c r="E110" s="72"/>
      <x:c r="F110" s="71"/>
      <x:c r="G110" s="73"/>
      <x:c r="H110" s="73"/>
      <x:c r="I110" s="73"/>
      <x:c r="J110" s="73"/>
      <x:c r="K110" s="73"/>
      <x:c r="L110" s="72"/>
      <x:c r="M110" s="72"/>
      <x:c r="N110" s="72"/>
    </x:row>
    <x:row r="111">
      <x:c r="A111" s="71"/>
      <x:c r="B111" s="72"/>
      <x:c r="C111" s="72"/>
      <x:c r="D111" s="72"/>
      <x:c r="E111" s="72"/>
      <x:c r="F111" s="71"/>
      <x:c r="G111" s="73"/>
      <x:c r="H111" s="73"/>
      <x:c r="I111" s="73"/>
      <x:c r="J111" s="73"/>
      <x:c r="K111" s="73"/>
      <x:c r="L111" s="72"/>
      <x:c r="M111" s="72"/>
      <x:c r="N111" s="72"/>
    </x:row>
    <x:row r="112">
      <x:c r="A112" s="71"/>
      <x:c r="B112" s="72"/>
      <x:c r="C112" s="72"/>
      <x:c r="D112" s="72"/>
      <x:c r="E112" s="72"/>
      <x:c r="F112" s="71"/>
      <x:c r="G112" s="73"/>
      <x:c r="H112" s="73"/>
      <x:c r="I112" s="73"/>
      <x:c r="J112" s="73"/>
      <x:c r="K112" s="73"/>
      <x:c r="L112" s="72"/>
      <x:c r="M112" s="72"/>
      <x:c r="N112" s="72"/>
    </x:row>
    <x:row r="113">
      <x:c r="A113" s="71"/>
      <x:c r="B113" s="72"/>
      <x:c r="C113" s="72"/>
      <x:c r="D113" s="72"/>
      <x:c r="E113" s="72"/>
      <x:c r="F113" s="71"/>
      <x:c r="G113" s="73"/>
      <x:c r="H113" s="73"/>
      <x:c r="I113" s="73"/>
      <x:c r="J113" s="73"/>
      <x:c r="K113" s="73"/>
      <x:c r="L113" s="72"/>
      <x:c r="M113" s="72"/>
      <x:c r="N113" s="72"/>
    </x:row>
    <x:row r="114">
      <x:c r="A114" s="71"/>
      <x:c r="B114" s="72"/>
      <x:c r="C114" s="72"/>
      <x:c r="D114" s="72"/>
      <x:c r="E114" s="72"/>
      <x:c r="F114" s="71"/>
      <x:c r="G114" s="73"/>
      <x:c r="H114" s="73"/>
      <x:c r="I114" s="73"/>
      <x:c r="J114" s="73"/>
      <x:c r="K114" s="73"/>
      <x:c r="L114" s="72"/>
      <x:c r="M114" s="72"/>
      <x:c r="N114" s="72"/>
    </x:row>
    <x:row r="115">
      <x:c r="A115" s="71"/>
      <x:c r="B115" s="72"/>
      <x:c r="C115" s="72"/>
      <x:c r="D115" s="72"/>
      <x:c r="E115" s="72"/>
      <x:c r="F115" s="71"/>
      <x:c r="G115" s="73"/>
      <x:c r="H115" s="73"/>
      <x:c r="I115" s="73"/>
      <x:c r="J115" s="73"/>
      <x:c r="K115" s="73"/>
      <x:c r="L115" s="72"/>
      <x:c r="M115" s="72"/>
      <x:c r="N115" s="72"/>
    </x:row>
    <x:row r="116">
      <x:c r="A116" s="71"/>
      <x:c r="B116" s="72"/>
      <x:c r="C116" s="72"/>
      <x:c r="D116" s="72"/>
      <x:c r="E116" s="72"/>
      <x:c r="F116" s="71"/>
      <x:c r="G116" s="73"/>
      <x:c r="H116" s="73"/>
      <x:c r="I116" s="73"/>
      <x:c r="J116" s="73"/>
      <x:c r="K116" s="73"/>
      <x:c r="L116" s="72"/>
      <x:c r="M116" s="72"/>
      <x:c r="N116" s="72"/>
    </x:row>
    <x:row r="117">
      <x:c r="A117" s="71"/>
      <x:c r="B117" s="72"/>
      <x:c r="C117" s="72"/>
      <x:c r="D117" s="72"/>
      <x:c r="E117" s="72"/>
      <x:c r="F117" s="71"/>
      <x:c r="G117" s="73"/>
      <x:c r="H117" s="73"/>
      <x:c r="I117" s="73"/>
      <x:c r="J117" s="73"/>
      <x:c r="K117" s="73"/>
      <x:c r="L117" s="72"/>
      <x:c r="M117" s="72"/>
      <x:c r="N117" s="72"/>
    </x:row>
    <x:row r="118">
      <x:c r="A118" s="71"/>
      <x:c r="B118" s="72"/>
      <x:c r="C118" s="72"/>
      <x:c r="D118" s="72"/>
      <x:c r="E118" s="72"/>
      <x:c r="F118" s="71"/>
      <x:c r="G118" s="73"/>
      <x:c r="H118" s="73"/>
      <x:c r="I118" s="73"/>
      <x:c r="J118" s="73"/>
      <x:c r="K118" s="73"/>
      <x:c r="L118" s="72"/>
      <x:c r="M118" s="72"/>
      <x:c r="N118" s="72"/>
    </x:row>
    <x:row r="119">
      <x:c r="A119" s="71"/>
      <x:c r="B119" s="72"/>
      <x:c r="C119" s="72"/>
      <x:c r="D119" s="72"/>
      <x:c r="E119" s="72"/>
      <x:c r="F119" s="71"/>
      <x:c r="G119" s="73"/>
      <x:c r="H119" s="73"/>
      <x:c r="I119" s="73"/>
      <x:c r="J119" s="73"/>
      <x:c r="K119" s="73"/>
      <x:c r="L119" s="72"/>
      <x:c r="M119" s="72"/>
      <x:c r="N119" s="72"/>
    </x:row>
    <x:row r="120">
      <x:c r="A120" s="71"/>
      <x:c r="B120" s="72"/>
      <x:c r="C120" s="72"/>
      <x:c r="D120" s="72"/>
      <x:c r="E120" s="72"/>
      <x:c r="F120" s="71"/>
      <x:c r="G120" s="73"/>
      <x:c r="H120" s="73"/>
      <x:c r="I120" s="73"/>
      <x:c r="J120" s="73"/>
      <x:c r="K120" s="73"/>
      <x:c r="L120" s="72"/>
      <x:c r="M120" s="72"/>
      <x:c r="N120" s="72"/>
    </x:row>
    <x:row r="121">
      <x:c r="A121" s="71"/>
      <x:c r="B121" s="72"/>
      <x:c r="C121" s="72"/>
      <x:c r="D121" s="72"/>
      <x:c r="E121" s="72"/>
      <x:c r="F121" s="71"/>
      <x:c r="G121" s="73"/>
      <x:c r="H121" s="73"/>
      <x:c r="I121" s="73"/>
      <x:c r="J121" s="73"/>
      <x:c r="K121" s="73"/>
      <x:c r="L121" s="72"/>
      <x:c r="M121" s="72"/>
      <x:c r="N121" s="72"/>
    </x:row>
    <x:row r="122">
      <x:c r="A122" s="71"/>
      <x:c r="B122" s="72"/>
      <x:c r="C122" s="72"/>
      <x:c r="D122" s="72"/>
      <x:c r="E122" s="72"/>
      <x:c r="F122" s="71"/>
      <x:c r="G122" s="73"/>
      <x:c r="H122" s="73"/>
      <x:c r="I122" s="73"/>
      <x:c r="J122" s="73"/>
      <x:c r="K122" s="73"/>
      <x:c r="L122" s="72"/>
      <x:c r="M122" s="72"/>
      <x:c r="N122" s="72"/>
    </x:row>
    <x:row r="123">
      <x:c r="A123" s="71"/>
      <x:c r="B123" s="72"/>
      <x:c r="C123" s="72"/>
      <x:c r="D123" s="72"/>
      <x:c r="E123" s="72"/>
      <x:c r="F123" s="71"/>
      <x:c r="G123" s="73"/>
      <x:c r="H123" s="73"/>
      <x:c r="I123" s="73"/>
      <x:c r="J123" s="73"/>
      <x:c r="K123" s="73"/>
      <x:c r="L123" s="72"/>
      <x:c r="M123" s="72"/>
      <x:c r="N123" s="72"/>
    </x:row>
    <x:row r="124">
      <x:c r="A124" s="71"/>
      <x:c r="B124" s="72"/>
      <x:c r="C124" s="72"/>
      <x:c r="D124" s="72"/>
      <x:c r="E124" s="72"/>
      <x:c r="F124" s="71"/>
      <x:c r="G124" s="73"/>
      <x:c r="H124" s="73"/>
      <x:c r="I124" s="73"/>
      <x:c r="J124" s="73"/>
      <x:c r="K124" s="73"/>
      <x:c r="L124" s="72"/>
      <x:c r="M124" s="72"/>
      <x:c r="N124" s="72"/>
    </x:row>
    <x:row r="125">
      <x:c r="A125" s="71"/>
      <x:c r="B125" s="72"/>
      <x:c r="C125" s="72"/>
      <x:c r="D125" s="72"/>
      <x:c r="E125" s="72"/>
      <x:c r="F125" s="71"/>
      <x:c r="G125" s="73"/>
      <x:c r="H125" s="73"/>
      <x:c r="I125" s="73"/>
      <x:c r="J125" s="73"/>
      <x:c r="K125" s="73"/>
      <x:c r="L125" s="72"/>
      <x:c r="M125" s="72"/>
      <x:c r="N125" s="72"/>
    </x:row>
    <x:row r="126">
      <x:c r="A126" s="71"/>
      <x:c r="B126" s="72"/>
      <x:c r="C126" s="72"/>
      <x:c r="D126" s="72"/>
      <x:c r="E126" s="72"/>
      <x:c r="F126" s="71"/>
      <x:c r="G126" s="73"/>
      <x:c r="H126" s="73"/>
      <x:c r="I126" s="73"/>
      <x:c r="J126" s="73"/>
      <x:c r="K126" s="73"/>
      <x:c r="L126" s="72"/>
      <x:c r="M126" s="72"/>
      <x:c r="N126" s="72"/>
    </x:row>
    <x:row r="127">
      <x:c r="A127" s="71"/>
      <x:c r="B127" s="72"/>
      <x:c r="C127" s="72"/>
      <x:c r="D127" s="72"/>
      <x:c r="E127" s="72"/>
      <x:c r="F127" s="71"/>
      <x:c r="G127" s="73"/>
      <x:c r="H127" s="73"/>
      <x:c r="I127" s="73"/>
      <x:c r="J127" s="73"/>
      <x:c r="K127" s="73"/>
      <x:c r="L127" s="72"/>
      <x:c r="M127" s="72"/>
      <x:c r="N127" s="72"/>
    </x:row>
    <x:row r="128">
      <x:c r="A128" s="71"/>
      <x:c r="B128" s="72"/>
      <x:c r="C128" s="72"/>
      <x:c r="D128" s="72"/>
      <x:c r="E128" s="72"/>
      <x:c r="F128" s="71"/>
      <x:c r="G128" s="73"/>
      <x:c r="H128" s="73"/>
      <x:c r="I128" s="73"/>
      <x:c r="J128" s="73"/>
      <x:c r="K128" s="73"/>
      <x:c r="L128" s="72"/>
      <x:c r="M128" s="72"/>
      <x:c r="N128" s="72"/>
    </x:row>
    <x:row r="129">
      <x:c r="A129" s="71"/>
      <x:c r="B129" s="72"/>
      <x:c r="C129" s="72"/>
      <x:c r="D129" s="72"/>
      <x:c r="E129" s="72"/>
      <x:c r="F129" s="71"/>
      <x:c r="G129" s="73"/>
      <x:c r="H129" s="73"/>
      <x:c r="I129" s="73"/>
      <x:c r="J129" s="73"/>
      <x:c r="K129" s="73"/>
      <x:c r="L129" s="72"/>
      <x:c r="M129" s="72"/>
      <x:c r="N129" s="72"/>
    </x:row>
    <x:row r="130">
      <x:c r="A130" s="71"/>
      <x:c r="B130" s="72"/>
      <x:c r="C130" s="72"/>
      <x:c r="D130" s="72"/>
      <x:c r="E130" s="72"/>
      <x:c r="F130" s="71"/>
      <x:c r="G130" s="73"/>
      <x:c r="H130" s="73"/>
      <x:c r="I130" s="73"/>
      <x:c r="J130" s="73"/>
      <x:c r="K130" s="73"/>
      <x:c r="L130" s="72"/>
      <x:c r="M130" s="72"/>
      <x:c r="N130" s="72"/>
    </x:row>
    <x:row r="131">
      <x:c r="A131" s="71"/>
      <x:c r="B131" s="72"/>
      <x:c r="C131" s="72"/>
      <x:c r="D131" s="72"/>
      <x:c r="E131" s="72"/>
      <x:c r="F131" s="71"/>
      <x:c r="G131" s="73"/>
      <x:c r="H131" s="73"/>
      <x:c r="I131" s="73"/>
      <x:c r="J131" s="73"/>
      <x:c r="K131" s="73"/>
      <x:c r="L131" s="72"/>
      <x:c r="M131" s="72"/>
      <x:c r="N131" s="72"/>
    </x:row>
    <x:row r="132">
      <x:c r="A132" s="71"/>
      <x:c r="B132" s="72"/>
      <x:c r="C132" s="72"/>
      <x:c r="D132" s="72"/>
      <x:c r="E132" s="72"/>
      <x:c r="F132" s="71"/>
      <x:c r="G132" s="73"/>
      <x:c r="H132" s="73"/>
      <x:c r="I132" s="73"/>
      <x:c r="J132" s="73"/>
      <x:c r="K132" s="73"/>
      <x:c r="L132" s="72"/>
      <x:c r="M132" s="72"/>
      <x:c r="N132" s="72"/>
    </x:row>
    <x:row r="133">
      <x:c r="A133" s="71"/>
      <x:c r="B133" s="72"/>
      <x:c r="C133" s="72"/>
      <x:c r="D133" s="72"/>
      <x:c r="E133" s="72"/>
      <x:c r="F133" s="71"/>
      <x:c r="G133" s="73"/>
      <x:c r="H133" s="73"/>
      <x:c r="I133" s="73"/>
      <x:c r="J133" s="73"/>
      <x:c r="K133" s="73"/>
      <x:c r="L133" s="72"/>
      <x:c r="M133" s="72"/>
      <x:c r="N133" s="72"/>
    </x:row>
    <x:row r="134">
      <x:c r="A134" s="71"/>
      <x:c r="B134" s="72"/>
      <x:c r="C134" s="72"/>
      <x:c r="D134" s="72"/>
      <x:c r="E134" s="72"/>
      <x:c r="F134" s="71"/>
      <x:c r="G134" s="73"/>
      <x:c r="H134" s="73"/>
      <x:c r="I134" s="73"/>
      <x:c r="J134" s="73"/>
      <x:c r="K134" s="73"/>
      <x:c r="L134" s="72"/>
      <x:c r="M134" s="72"/>
      <x:c r="N134" s="72"/>
    </x:row>
    <x:row r="135">
      <x:c r="A135" s="71"/>
      <x:c r="B135" s="72"/>
      <x:c r="C135" s="72"/>
      <x:c r="D135" s="72"/>
      <x:c r="E135" s="72"/>
      <x:c r="F135" s="71"/>
      <x:c r="G135" s="73"/>
      <x:c r="H135" s="73"/>
      <x:c r="I135" s="73"/>
      <x:c r="J135" s="73"/>
      <x:c r="K135" s="73"/>
      <x:c r="L135" s="72"/>
      <x:c r="M135" s="72"/>
      <x:c r="N135" s="72"/>
    </x:row>
    <x:row r="136">
      <x:c r="A136" s="71"/>
      <x:c r="B136" s="72"/>
      <x:c r="C136" s="72"/>
      <x:c r="D136" s="72"/>
      <x:c r="E136" s="72"/>
      <x:c r="F136" s="71"/>
      <x:c r="G136" s="73"/>
      <x:c r="H136" s="73"/>
      <x:c r="I136" s="73"/>
      <x:c r="J136" s="73"/>
      <x:c r="K136" s="73"/>
      <x:c r="L136" s="72"/>
      <x:c r="M136" s="72"/>
      <x:c r="N136" s="72"/>
    </x:row>
    <x:row r="137">
      <x:c r="A137" s="71"/>
      <x:c r="B137" s="72"/>
      <x:c r="C137" s="72"/>
      <x:c r="D137" s="72"/>
      <x:c r="E137" s="72"/>
      <x:c r="F137" s="71"/>
      <x:c r="G137" s="73"/>
      <x:c r="H137" s="73"/>
      <x:c r="I137" s="73"/>
      <x:c r="J137" s="73"/>
      <x:c r="K137" s="73"/>
      <x:c r="L137" s="72"/>
      <x:c r="M137" s="72"/>
      <x:c r="N137" s="72"/>
    </x:row>
    <x:row r="138">
      <x:c r="A138" s="71"/>
      <x:c r="B138" s="72"/>
      <x:c r="C138" s="72"/>
      <x:c r="D138" s="72"/>
      <x:c r="E138" s="72"/>
      <x:c r="F138" s="71"/>
      <x:c r="G138" s="73"/>
      <x:c r="H138" s="73"/>
      <x:c r="I138" s="73"/>
      <x:c r="J138" s="73"/>
      <x:c r="K138" s="73"/>
      <x:c r="L138" s="72"/>
      <x:c r="M138" s="72"/>
      <x:c r="N138" s="72"/>
    </x:row>
    <x:row r="139">
      <x:c r="A139" s="71"/>
      <x:c r="B139" s="72"/>
      <x:c r="C139" s="72"/>
      <x:c r="D139" s="72"/>
      <x:c r="E139" s="72"/>
      <x:c r="F139" s="71"/>
      <x:c r="G139" s="73"/>
      <x:c r="H139" s="73"/>
      <x:c r="I139" s="73"/>
      <x:c r="J139" s="73"/>
      <x:c r="K139" s="73"/>
      <x:c r="L139" s="72"/>
      <x:c r="M139" s="72"/>
      <x:c r="N139" s="72"/>
    </x:row>
    <x:row r="140">
      <x:c r="A140" s="71"/>
      <x:c r="B140" s="72"/>
      <x:c r="C140" s="72"/>
      <x:c r="D140" s="72"/>
      <x:c r="E140" s="72"/>
      <x:c r="F140" s="71"/>
      <x:c r="G140" s="73"/>
      <x:c r="H140" s="73"/>
      <x:c r="I140" s="73"/>
      <x:c r="J140" s="73"/>
      <x:c r="K140" s="73"/>
      <x:c r="L140" s="72"/>
      <x:c r="M140" s="72"/>
      <x:c r="N140" s="72"/>
    </x:row>
    <x:row r="141">
      <x:c r="A141" s="71"/>
      <x:c r="B141" s="72"/>
      <x:c r="C141" s="72"/>
      <x:c r="D141" s="72"/>
      <x:c r="E141" s="72"/>
      <x:c r="F141" s="71"/>
      <x:c r="G141" s="73"/>
      <x:c r="H141" s="73"/>
      <x:c r="I141" s="73"/>
      <x:c r="J141" s="73"/>
      <x:c r="K141" s="73"/>
      <x:c r="L141" s="72"/>
      <x:c r="M141" s="72"/>
      <x:c r="N141" s="72"/>
    </x:row>
    <x:row r="142">
      <x:c r="A142" s="71"/>
      <x:c r="B142" s="72"/>
      <x:c r="C142" s="72"/>
      <x:c r="D142" s="72"/>
      <x:c r="E142" s="72"/>
      <x:c r="F142" s="71"/>
      <x:c r="G142" s="73"/>
      <x:c r="H142" s="73"/>
      <x:c r="I142" s="73"/>
      <x:c r="J142" s="73"/>
      <x:c r="K142" s="73"/>
      <x:c r="L142" s="72"/>
      <x:c r="M142" s="72"/>
      <x:c r="N142" s="72"/>
    </x:row>
    <x:row r="143">
      <x:c r="A143" s="71"/>
      <x:c r="B143" s="72"/>
      <x:c r="C143" s="72"/>
      <x:c r="D143" s="72"/>
      <x:c r="E143" s="72"/>
      <x:c r="F143" s="71"/>
      <x:c r="G143" s="73"/>
      <x:c r="H143" s="73"/>
      <x:c r="I143" s="73"/>
      <x:c r="J143" s="73"/>
      <x:c r="K143" s="73"/>
      <x:c r="L143" s="72"/>
      <x:c r="M143" s="72"/>
      <x:c r="N143" s="72"/>
    </x:row>
    <x:row r="144">
      <x:c r="A144" s="71"/>
      <x:c r="B144" s="72"/>
      <x:c r="C144" s="72"/>
      <x:c r="D144" s="72"/>
      <x:c r="E144" s="72"/>
      <x:c r="F144" s="71"/>
      <x:c r="G144" s="73"/>
      <x:c r="H144" s="73"/>
      <x:c r="I144" s="73"/>
      <x:c r="J144" s="73"/>
      <x:c r="K144" s="73"/>
      <x:c r="L144" s="72"/>
      <x:c r="M144" s="72"/>
      <x:c r="N144" s="72"/>
    </x:row>
    <x:row r="145">
      <x:c r="A145" s="71"/>
      <x:c r="B145" s="72"/>
      <x:c r="C145" s="72"/>
      <x:c r="D145" s="72"/>
      <x:c r="E145" s="72"/>
      <x:c r="F145" s="71"/>
      <x:c r="G145" s="73"/>
      <x:c r="H145" s="73"/>
      <x:c r="I145" s="73"/>
      <x:c r="J145" s="73"/>
      <x:c r="K145" s="73"/>
      <x:c r="L145" s="72"/>
      <x:c r="M145" s="72"/>
      <x:c r="N145" s="72"/>
    </x:row>
    <x:row r="146">
      <x:c r="A146" s="71"/>
      <x:c r="B146" s="72"/>
      <x:c r="C146" s="72"/>
      <x:c r="D146" s="72"/>
      <x:c r="E146" s="72"/>
      <x:c r="F146" s="71"/>
      <x:c r="G146" s="73"/>
      <x:c r="H146" s="73"/>
      <x:c r="I146" s="73"/>
      <x:c r="J146" s="73"/>
      <x:c r="K146" s="73"/>
      <x:c r="L146" s="72"/>
      <x:c r="M146" s="72"/>
      <x:c r="N146" s="72"/>
    </x:row>
    <x:row r="147">
      <x:c r="A147" s="71"/>
      <x:c r="B147" s="72"/>
      <x:c r="C147" s="72"/>
      <x:c r="D147" s="72"/>
      <x:c r="E147" s="72"/>
      <x:c r="F147" s="71"/>
      <x:c r="G147" s="73"/>
      <x:c r="H147" s="73"/>
      <x:c r="I147" s="73"/>
      <x:c r="J147" s="73"/>
      <x:c r="K147" s="73"/>
      <x:c r="L147" s="72"/>
      <x:c r="M147" s="72"/>
      <x:c r="N147" s="72"/>
    </x:row>
    <x:row r="148">
      <x:c r="A148" s="71"/>
      <x:c r="B148" s="72"/>
      <x:c r="C148" s="72"/>
      <x:c r="D148" s="72"/>
      <x:c r="E148" s="72"/>
      <x:c r="F148" s="71"/>
      <x:c r="G148" s="73"/>
      <x:c r="H148" s="73"/>
      <x:c r="I148" s="73"/>
      <x:c r="J148" s="73"/>
      <x:c r="K148" s="73"/>
      <x:c r="L148" s="72"/>
      <x:c r="M148" s="72"/>
      <x:c r="N148" s="72"/>
    </x:row>
    <x:row r="149">
      <x:c r="A149" s="71"/>
      <x:c r="B149" s="72"/>
      <x:c r="C149" s="72"/>
      <x:c r="D149" s="72"/>
      <x:c r="E149" s="72"/>
      <x:c r="F149" s="71"/>
      <x:c r="G149" s="73"/>
      <x:c r="H149" s="73"/>
      <x:c r="I149" s="73"/>
      <x:c r="J149" s="73"/>
      <x:c r="K149" s="73"/>
      <x:c r="L149" s="72"/>
      <x:c r="M149" s="72"/>
      <x:c r="N149" s="72"/>
    </x:row>
    <x:row r="150">
      <x:c r="A150" s="71"/>
      <x:c r="B150" s="72"/>
      <x:c r="C150" s="72"/>
      <x:c r="D150" s="72"/>
      <x:c r="E150" s="72"/>
      <x:c r="F150" s="71"/>
      <x:c r="G150" s="73"/>
      <x:c r="H150" s="73"/>
      <x:c r="I150" s="73"/>
      <x:c r="J150" s="73"/>
      <x:c r="K150" s="73"/>
      <x:c r="L150" s="72"/>
      <x:c r="M150" s="72"/>
      <x:c r="N150" s="72"/>
    </x:row>
    <x:row r="151">
      <x:c r="A151" s="71"/>
      <x:c r="B151" s="72"/>
      <x:c r="C151" s="72"/>
      <x:c r="D151" s="72"/>
      <x:c r="E151" s="72"/>
      <x:c r="F151" s="71"/>
      <x:c r="G151" s="73"/>
      <x:c r="H151" s="73"/>
      <x:c r="I151" s="73"/>
      <x:c r="J151" s="73"/>
      <x:c r="K151" s="73"/>
      <x:c r="L151" s="72"/>
      <x:c r="M151" s="72"/>
      <x:c r="N151" s="72"/>
    </x:row>
    <x:row r="152">
      <x:c r="A152" s="71"/>
      <x:c r="B152" s="72"/>
      <x:c r="C152" s="72"/>
      <x:c r="D152" s="72"/>
      <x:c r="E152" s="72"/>
      <x:c r="F152" s="71"/>
      <x:c r="G152" s="73"/>
      <x:c r="H152" s="73"/>
      <x:c r="I152" s="73"/>
      <x:c r="J152" s="73"/>
      <x:c r="K152" s="73"/>
      <x:c r="L152" s="72"/>
      <x:c r="M152" s="72"/>
      <x:c r="N152" s="72"/>
    </x:row>
    <x:row r="153">
      <x:c r="A153" s="71"/>
      <x:c r="B153" s="72"/>
      <x:c r="C153" s="72"/>
      <x:c r="D153" s="72"/>
      <x:c r="E153" s="72"/>
      <x:c r="F153" s="71"/>
      <x:c r="G153" s="73"/>
      <x:c r="H153" s="73"/>
      <x:c r="I153" s="73"/>
      <x:c r="J153" s="73"/>
      <x:c r="K153" s="73"/>
      <x:c r="L153" s="72"/>
      <x:c r="M153" s="72"/>
      <x:c r="N153" s="72"/>
    </x:row>
    <x:row r="154">
      <x:c r="A154" s="71"/>
      <x:c r="B154" s="72"/>
      <x:c r="C154" s="72"/>
      <x:c r="D154" s="72"/>
      <x:c r="E154" s="72"/>
      <x:c r="F154" s="71"/>
      <x:c r="G154" s="73"/>
      <x:c r="H154" s="73"/>
      <x:c r="I154" s="73"/>
      <x:c r="J154" s="73"/>
      <x:c r="K154" s="73"/>
      <x:c r="L154" s="72"/>
      <x:c r="M154" s="72"/>
      <x:c r="N154" s="72"/>
    </x:row>
    <x:row r="155">
      <x:c r="A155" s="71"/>
      <x:c r="B155" s="72"/>
      <x:c r="C155" s="72"/>
      <x:c r="D155" s="72"/>
      <x:c r="E155" s="72"/>
      <x:c r="F155" s="71"/>
      <x:c r="G155" s="73"/>
      <x:c r="H155" s="73"/>
      <x:c r="I155" s="73"/>
      <x:c r="J155" s="73"/>
      <x:c r="K155" s="73"/>
      <x:c r="L155" s="72"/>
      <x:c r="M155" s="72"/>
      <x:c r="N155" s="72"/>
    </x:row>
    <x:row r="156">
      <x:c r="A156" s="71"/>
      <x:c r="B156" s="72"/>
      <x:c r="C156" s="72"/>
      <x:c r="D156" s="72"/>
      <x:c r="E156" s="72"/>
      <x:c r="F156" s="71"/>
      <x:c r="G156" s="73"/>
      <x:c r="H156" s="73"/>
      <x:c r="I156" s="73"/>
      <x:c r="J156" s="73"/>
      <x:c r="K156" s="73"/>
      <x:c r="L156" s="72"/>
      <x:c r="M156" s="72"/>
      <x:c r="N156" s="72"/>
    </x:row>
    <x:row r="157">
      <x:c r="A157" s="71"/>
      <x:c r="B157" s="72"/>
      <x:c r="C157" s="72"/>
      <x:c r="D157" s="72"/>
      <x:c r="E157" s="72"/>
      <x:c r="F157" s="71"/>
      <x:c r="G157" s="73"/>
      <x:c r="H157" s="73"/>
      <x:c r="I157" s="73"/>
      <x:c r="J157" s="73"/>
      <x:c r="K157" s="73"/>
      <x:c r="L157" s="72"/>
      <x:c r="M157" s="72"/>
      <x:c r="N157" s="72"/>
    </x:row>
    <x:row r="158">
      <x:c r="A158" s="71"/>
      <x:c r="B158" s="72"/>
      <x:c r="C158" s="72"/>
      <x:c r="D158" s="72"/>
      <x:c r="E158" s="72"/>
      <x:c r="F158" s="71"/>
      <x:c r="G158" s="73"/>
      <x:c r="H158" s="73"/>
      <x:c r="I158" s="73"/>
      <x:c r="J158" s="73"/>
      <x:c r="K158" s="73"/>
      <x:c r="L158" s="72"/>
      <x:c r="M158" s="72"/>
      <x:c r="N158" s="72"/>
    </x:row>
    <x:row r="159">
      <x:c r="A159" s="71"/>
      <x:c r="B159" s="72"/>
      <x:c r="C159" s="72"/>
      <x:c r="D159" s="72"/>
      <x:c r="E159" s="72"/>
      <x:c r="F159" s="71"/>
      <x:c r="G159" s="73"/>
      <x:c r="H159" s="73"/>
      <x:c r="I159" s="73"/>
      <x:c r="J159" s="73"/>
      <x:c r="K159" s="73"/>
      <x:c r="L159" s="72"/>
      <x:c r="M159" s="72"/>
      <x:c r="N159" s="72"/>
    </x:row>
    <x:row r="160">
      <x:c r="A160" s="71"/>
      <x:c r="B160" s="72"/>
      <x:c r="C160" s="72"/>
      <x:c r="D160" s="72"/>
      <x:c r="E160" s="72"/>
      <x:c r="F160" s="71"/>
      <x:c r="G160" s="73"/>
      <x:c r="H160" s="73"/>
      <x:c r="I160" s="73"/>
      <x:c r="J160" s="73"/>
      <x:c r="K160" s="73"/>
      <x:c r="L160" s="72"/>
      <x:c r="M160" s="72"/>
      <x:c r="N160" s="72"/>
    </x:row>
    <x:row r="161">
      <x:c r="A161" s="71"/>
      <x:c r="B161" s="72"/>
      <x:c r="C161" s="72"/>
      <x:c r="D161" s="72"/>
      <x:c r="E161" s="72"/>
      <x:c r="F161" s="71"/>
      <x:c r="G161" s="73"/>
      <x:c r="H161" s="73"/>
      <x:c r="I161" s="73"/>
      <x:c r="J161" s="73"/>
      <x:c r="K161" s="73"/>
      <x:c r="L161" s="72"/>
      <x:c r="M161" s="72"/>
      <x:c r="N161" s="72"/>
    </x:row>
    <x:row r="162">
      <x:c r="A162" s="71"/>
      <x:c r="B162" s="72"/>
      <x:c r="C162" s="72"/>
      <x:c r="D162" s="72"/>
      <x:c r="E162" s="72"/>
      <x:c r="F162" s="71"/>
      <x:c r="G162" s="73"/>
      <x:c r="H162" s="73"/>
      <x:c r="I162" s="73"/>
      <x:c r="J162" s="73"/>
      <x:c r="K162" s="73"/>
      <x:c r="L162" s="72"/>
      <x:c r="M162" s="72"/>
      <x:c r="N162" s="72"/>
    </x:row>
    <x:row r="163">
      <x:c r="A163" s="71"/>
      <x:c r="B163" s="72"/>
      <x:c r="C163" s="72"/>
      <x:c r="D163" s="72"/>
      <x:c r="E163" s="72"/>
      <x:c r="F163" s="71"/>
      <x:c r="G163" s="73"/>
      <x:c r="H163" s="73"/>
      <x:c r="I163" s="73"/>
      <x:c r="J163" s="73"/>
      <x:c r="K163" s="73"/>
      <x:c r="L163" s="72"/>
      <x:c r="M163" s="72"/>
      <x:c r="N163" s="72"/>
    </x:row>
    <x:row r="164">
      <x:c r="A164" s="71"/>
      <x:c r="B164" s="72"/>
      <x:c r="C164" s="72"/>
      <x:c r="D164" s="72"/>
      <x:c r="E164" s="72"/>
      <x:c r="F164" s="71"/>
      <x:c r="G164" s="73"/>
      <x:c r="H164" s="73"/>
      <x:c r="I164" s="73"/>
      <x:c r="J164" s="73"/>
      <x:c r="K164" s="73"/>
      <x:c r="L164" s="72"/>
      <x:c r="M164" s="72"/>
      <x:c r="N164" s="72"/>
    </x:row>
    <x:row r="165">
      <x:c r="A165" s="71"/>
      <x:c r="B165" s="72"/>
      <x:c r="C165" s="72"/>
      <x:c r="D165" s="72"/>
      <x:c r="E165" s="72"/>
      <x:c r="F165" s="71"/>
      <x:c r="G165" s="73"/>
      <x:c r="H165" s="73"/>
      <x:c r="I165" s="73"/>
      <x:c r="J165" s="73"/>
      <x:c r="K165" s="73"/>
      <x:c r="L165" s="72"/>
      <x:c r="M165" s="72"/>
      <x:c r="N165" s="72"/>
    </x:row>
    <x:row r="166">
      <x:c r="A166" s="71"/>
      <x:c r="B166" s="72"/>
      <x:c r="C166" s="72"/>
      <x:c r="D166" s="72"/>
      <x:c r="E166" s="72"/>
      <x:c r="F166" s="71"/>
      <x:c r="G166" s="73"/>
      <x:c r="H166" s="73"/>
      <x:c r="I166" s="73"/>
      <x:c r="J166" s="73"/>
      <x:c r="K166" s="73"/>
      <x:c r="L166" s="72"/>
      <x:c r="M166" s="72"/>
      <x:c r="N166" s="72"/>
    </x:row>
    <x:row r="167">
      <x:c r="A167" s="71"/>
      <x:c r="B167" s="72"/>
      <x:c r="C167" s="72"/>
      <x:c r="D167" s="72"/>
      <x:c r="E167" s="72"/>
      <x:c r="F167" s="71"/>
      <x:c r="G167" s="73"/>
      <x:c r="H167" s="73"/>
      <x:c r="I167" s="73"/>
      <x:c r="J167" s="73"/>
      <x:c r="K167" s="73"/>
      <x:c r="L167" s="72"/>
      <x:c r="M167" s="72"/>
      <x:c r="N167" s="72"/>
    </x:row>
    <x:row r="168">
      <x:c r="A168" s="71"/>
      <x:c r="B168" s="72"/>
      <x:c r="C168" s="72"/>
      <x:c r="D168" s="72"/>
      <x:c r="E168" s="72"/>
      <x:c r="F168" s="71"/>
      <x:c r="G168" s="73"/>
      <x:c r="H168" s="73"/>
      <x:c r="I168" s="73"/>
      <x:c r="J168" s="73"/>
      <x:c r="K168" s="73"/>
      <x:c r="L168" s="72"/>
      <x:c r="M168" s="72"/>
      <x:c r="N168" s="72"/>
    </x:row>
    <x:row r="169">
      <x:c r="A169" s="71"/>
      <x:c r="B169" s="72"/>
      <x:c r="C169" s="72"/>
      <x:c r="D169" s="72"/>
      <x:c r="E169" s="72"/>
      <x:c r="F169" s="71"/>
      <x:c r="G169" s="73"/>
      <x:c r="H169" s="73"/>
      <x:c r="I169" s="73"/>
      <x:c r="J169" s="73"/>
      <x:c r="K169" s="73"/>
      <x:c r="L169" s="72"/>
      <x:c r="M169" s="72"/>
      <x:c r="N169" s="72"/>
    </x:row>
    <x:row r="170">
      <x:c r="A170" s="71"/>
      <x:c r="B170" s="72"/>
      <x:c r="C170" s="72"/>
      <x:c r="D170" s="72"/>
      <x:c r="E170" s="72"/>
      <x:c r="F170" s="71"/>
      <x:c r="G170" s="73"/>
      <x:c r="H170" s="73"/>
      <x:c r="I170" s="73"/>
      <x:c r="J170" s="73"/>
      <x:c r="K170" s="73"/>
      <x:c r="L170" s="72"/>
      <x:c r="M170" s="72"/>
      <x:c r="N170" s="72"/>
    </x:row>
    <x:row r="171">
      <x:c r="A171" s="71"/>
      <x:c r="B171" s="72"/>
      <x:c r="C171" s="72"/>
      <x:c r="D171" s="72"/>
      <x:c r="E171" s="72"/>
      <x:c r="F171" s="71"/>
      <x:c r="G171" s="73"/>
      <x:c r="H171" s="73"/>
      <x:c r="I171" s="73"/>
      <x:c r="J171" s="73"/>
      <x:c r="K171" s="73"/>
      <x:c r="L171" s="72"/>
      <x:c r="M171" s="72"/>
      <x:c r="N171" s="72"/>
    </x:row>
    <x:row r="172">
      <x:c r="A172" s="71"/>
      <x:c r="B172" s="72"/>
      <x:c r="C172" s="72"/>
      <x:c r="D172" s="72"/>
      <x:c r="E172" s="72"/>
      <x:c r="F172" s="71"/>
      <x:c r="G172" s="73"/>
      <x:c r="H172" s="73"/>
      <x:c r="I172" s="73"/>
      <x:c r="J172" s="73"/>
      <x:c r="K172" s="73"/>
      <x:c r="L172" s="72"/>
      <x:c r="M172" s="72"/>
      <x:c r="N172" s="72"/>
    </x:row>
    <x:row r="173">
      <x:c r="A173" s="71"/>
      <x:c r="B173" s="72"/>
      <x:c r="C173" s="72"/>
      <x:c r="D173" s="72"/>
      <x:c r="E173" s="72"/>
      <x:c r="F173" s="71"/>
      <x:c r="G173" s="73"/>
      <x:c r="H173" s="73"/>
      <x:c r="I173" s="73"/>
      <x:c r="J173" s="73"/>
      <x:c r="K173" s="73"/>
      <x:c r="L173" s="72"/>
      <x:c r="M173" s="72"/>
      <x:c r="N173" s="72"/>
    </x:row>
    <x:row r="174">
      <x:c r="A174" s="71"/>
      <x:c r="B174" s="72"/>
      <x:c r="C174" s="72"/>
      <x:c r="D174" s="72"/>
      <x:c r="E174" s="72"/>
      <x:c r="F174" s="71"/>
      <x:c r="G174" s="73"/>
      <x:c r="H174" s="73"/>
      <x:c r="I174" s="73"/>
      <x:c r="J174" s="73"/>
      <x:c r="K174" s="73"/>
      <x:c r="L174" s="72"/>
      <x:c r="M174" s="72"/>
      <x:c r="N174" s="72"/>
    </x:row>
    <x:row r="175">
      <x:c r="A175" s="71"/>
      <x:c r="B175" s="72"/>
      <x:c r="C175" s="72"/>
      <x:c r="D175" s="72"/>
      <x:c r="E175" s="72"/>
      <x:c r="F175" s="71"/>
      <x:c r="G175" s="73"/>
      <x:c r="H175" s="73"/>
      <x:c r="I175" s="73"/>
      <x:c r="J175" s="73"/>
      <x:c r="K175" s="73"/>
      <x:c r="L175" s="72"/>
      <x:c r="M175" s="72"/>
      <x:c r="N175" s="72"/>
    </x:row>
    <x:row r="176">
      <x:c r="A176" s="71"/>
      <x:c r="B176" s="72"/>
      <x:c r="C176" s="72"/>
      <x:c r="D176" s="72"/>
      <x:c r="E176" s="72"/>
      <x:c r="F176" s="71"/>
      <x:c r="G176" s="73"/>
      <x:c r="H176" s="73"/>
      <x:c r="I176" s="73"/>
      <x:c r="J176" s="73"/>
      <x:c r="K176" s="73"/>
      <x:c r="L176" s="72"/>
      <x:c r="M176" s="72"/>
      <x:c r="N176" s="72"/>
    </x:row>
    <x:row r="177">
      <x:c r="A177" s="71"/>
      <x:c r="B177" s="72"/>
      <x:c r="C177" s="72"/>
      <x:c r="D177" s="72"/>
      <x:c r="E177" s="72"/>
      <x:c r="F177" s="71"/>
      <x:c r="G177" s="73"/>
      <x:c r="H177" s="73"/>
      <x:c r="I177" s="73"/>
      <x:c r="J177" s="73"/>
      <x:c r="K177" s="73"/>
      <x:c r="L177" s="72"/>
      <x:c r="M177" s="72"/>
      <x:c r="N177" s="72"/>
    </x:row>
    <x:row r="178">
      <x:c r="A178" s="71"/>
      <x:c r="B178" s="72"/>
      <x:c r="C178" s="72"/>
      <x:c r="D178" s="72"/>
      <x:c r="E178" s="72"/>
      <x:c r="F178" s="71"/>
      <x:c r="G178" s="73"/>
      <x:c r="H178" s="73"/>
      <x:c r="I178" s="73"/>
      <x:c r="J178" s="73"/>
      <x:c r="K178" s="73"/>
      <x:c r="L178" s="72"/>
      <x:c r="M178" s="72"/>
      <x:c r="N178" s="72"/>
    </x:row>
    <x:row r="179">
      <x:c r="A179" s="71"/>
      <x:c r="B179" s="72"/>
      <x:c r="C179" s="72"/>
      <x:c r="D179" s="72"/>
      <x:c r="E179" s="72"/>
      <x:c r="F179" s="71"/>
      <x:c r="G179" s="73"/>
      <x:c r="H179" s="73"/>
      <x:c r="I179" s="73"/>
      <x:c r="J179" s="73"/>
      <x:c r="K179" s="73"/>
      <x:c r="L179" s="72"/>
      <x:c r="M179" s="72"/>
      <x:c r="N179" s="72"/>
    </x:row>
    <x:row r="180">
      <x:c r="A180" s="71"/>
      <x:c r="B180" s="72"/>
      <x:c r="C180" s="72"/>
      <x:c r="D180" s="72"/>
      <x:c r="E180" s="72"/>
      <x:c r="F180" s="71"/>
      <x:c r="G180" s="73"/>
      <x:c r="H180" s="73"/>
      <x:c r="I180" s="73"/>
      <x:c r="J180" s="73"/>
      <x:c r="K180" s="73"/>
      <x:c r="L180" s="72"/>
      <x:c r="M180" s="72"/>
      <x:c r="N180" s="72"/>
    </x:row>
    <x:row r="181">
      <x:c r="A181" s="71"/>
      <x:c r="B181" s="72"/>
      <x:c r="C181" s="72"/>
      <x:c r="D181" s="72"/>
      <x:c r="E181" s="72"/>
      <x:c r="F181" s="71"/>
      <x:c r="G181" s="73"/>
      <x:c r="H181" s="73"/>
      <x:c r="I181" s="73"/>
      <x:c r="J181" s="73"/>
      <x:c r="K181" s="73"/>
      <x:c r="L181" s="72"/>
      <x:c r="M181" s="72"/>
      <x:c r="N181" s="72"/>
    </x:row>
    <x:row r="182">
      <x:c r="A182" s="71"/>
      <x:c r="B182" s="72"/>
      <x:c r="C182" s="72"/>
      <x:c r="D182" s="72"/>
      <x:c r="E182" s="72"/>
      <x:c r="F182" s="71"/>
      <x:c r="G182" s="73"/>
      <x:c r="H182" s="73"/>
      <x:c r="I182" s="73"/>
      <x:c r="J182" s="73"/>
      <x:c r="K182" s="73"/>
      <x:c r="L182" s="72"/>
      <x:c r="M182" s="72"/>
      <x:c r="N182" s="72"/>
    </x:row>
    <x:row r="183">
      <x:c r="A183" s="71"/>
      <x:c r="B183" s="72"/>
      <x:c r="C183" s="72"/>
      <x:c r="D183" s="72"/>
      <x:c r="E183" s="72"/>
      <x:c r="F183" s="71"/>
      <x:c r="G183" s="73"/>
      <x:c r="H183" s="73"/>
      <x:c r="I183" s="73"/>
      <x:c r="J183" s="73"/>
      <x:c r="K183" s="73"/>
      <x:c r="L183" s="72"/>
      <x:c r="M183" s="72"/>
      <x:c r="N183" s="72"/>
    </x:row>
    <x:row r="184">
      <x:c r="A184" s="71"/>
      <x:c r="B184" s="72"/>
      <x:c r="C184" s="72"/>
      <x:c r="D184" s="72"/>
      <x:c r="E184" s="72"/>
      <x:c r="F184" s="71"/>
      <x:c r="G184" s="73"/>
      <x:c r="H184" s="73"/>
      <x:c r="I184" s="73"/>
      <x:c r="J184" s="73"/>
      <x:c r="K184" s="73"/>
      <x:c r="L184" s="72"/>
      <x:c r="M184" s="72"/>
      <x:c r="N184" s="72"/>
    </x:row>
    <x:row r="185">
      <x:c r="A185" s="71"/>
      <x:c r="B185" s="72"/>
      <x:c r="C185" s="72"/>
      <x:c r="D185" s="72"/>
      <x:c r="E185" s="72"/>
      <x:c r="F185" s="71"/>
      <x:c r="G185" s="73"/>
      <x:c r="H185" s="73"/>
      <x:c r="I185" s="73"/>
      <x:c r="J185" s="73"/>
      <x:c r="K185" s="73"/>
      <x:c r="L185" s="72"/>
      <x:c r="M185" s="72"/>
      <x:c r="N185" s="72"/>
    </x:row>
    <x:row r="186">
      <x:c r="A186" s="71"/>
      <x:c r="B186" s="72"/>
      <x:c r="C186" s="72"/>
      <x:c r="D186" s="72"/>
      <x:c r="E186" s="72"/>
      <x:c r="F186" s="71"/>
      <x:c r="G186" s="73"/>
      <x:c r="H186" s="73"/>
      <x:c r="I186" s="73"/>
      <x:c r="J186" s="73"/>
      <x:c r="K186" s="73"/>
      <x:c r="L186" s="72"/>
      <x:c r="M186" s="72"/>
      <x:c r="N186" s="72"/>
    </x:row>
    <x:row r="187">
      <x:c r="A187" s="71"/>
      <x:c r="B187" s="72"/>
      <x:c r="C187" s="72"/>
      <x:c r="D187" s="72"/>
      <x:c r="E187" s="72"/>
      <x:c r="F187" s="71"/>
      <x:c r="G187" s="73"/>
      <x:c r="H187" s="73"/>
      <x:c r="I187" s="73"/>
      <x:c r="J187" s="73"/>
      <x:c r="K187" s="73"/>
      <x:c r="L187" s="72"/>
      <x:c r="M187" s="72"/>
      <x:c r="N187" s="72"/>
    </x:row>
    <x:row r="188">
      <x:c r="A188" s="71"/>
      <x:c r="B188" s="72"/>
      <x:c r="C188" s="72"/>
      <x:c r="D188" s="72"/>
      <x:c r="E188" s="72"/>
      <x:c r="F188" s="71"/>
      <x:c r="G188" s="73"/>
      <x:c r="H188" s="73"/>
      <x:c r="I188" s="73"/>
      <x:c r="J188" s="73"/>
      <x:c r="K188" s="73"/>
      <x:c r="L188" s="72"/>
      <x:c r="M188" s="72"/>
      <x:c r="N188" s="72"/>
    </x:row>
    <x:row r="189">
      <x:c r="A189" s="71"/>
      <x:c r="B189" s="72"/>
      <x:c r="C189" s="72"/>
      <x:c r="D189" s="72"/>
      <x:c r="E189" s="72"/>
      <x:c r="F189" s="71"/>
      <x:c r="G189" s="73"/>
      <x:c r="H189" s="73"/>
      <x:c r="I189" s="73"/>
      <x:c r="J189" s="73"/>
      <x:c r="K189" s="73"/>
      <x:c r="L189" s="72"/>
      <x:c r="M189" s="72"/>
      <x:c r="N189" s="72"/>
    </x:row>
    <x:row r="190">
      <x:c r="A190" s="71"/>
      <x:c r="B190" s="72"/>
      <x:c r="C190" s="72"/>
      <x:c r="D190" s="72"/>
      <x:c r="E190" s="72"/>
      <x:c r="F190" s="71"/>
      <x:c r="G190" s="73"/>
      <x:c r="H190" s="73"/>
      <x:c r="I190" s="73"/>
      <x:c r="J190" s="73"/>
      <x:c r="K190" s="73"/>
      <x:c r="L190" s="72"/>
      <x:c r="M190" s="72"/>
      <x:c r="N190" s="72"/>
    </x:row>
    <x:row r="191">
      <x:c r="A191" s="71"/>
      <x:c r="B191" s="72"/>
      <x:c r="C191" s="72"/>
      <x:c r="D191" s="72"/>
      <x:c r="E191" s="72"/>
      <x:c r="F191" s="71"/>
      <x:c r="G191" s="73"/>
      <x:c r="H191" s="73"/>
      <x:c r="I191" s="73"/>
      <x:c r="J191" s="73"/>
      <x:c r="K191" s="73"/>
      <x:c r="L191" s="72"/>
      <x:c r="M191" s="72"/>
      <x:c r="N191" s="72"/>
    </x:row>
    <x:row r="192">
      <x:c r="A192" s="71"/>
      <x:c r="B192" s="72"/>
      <x:c r="C192" s="72"/>
      <x:c r="D192" s="72"/>
      <x:c r="E192" s="72"/>
      <x:c r="F192" s="71"/>
      <x:c r="G192" s="73"/>
      <x:c r="H192" s="73"/>
      <x:c r="I192" s="73"/>
      <x:c r="J192" s="73"/>
      <x:c r="K192" s="73"/>
      <x:c r="L192" s="72"/>
      <x:c r="M192" s="72"/>
      <x:c r="N192" s="72"/>
    </x:row>
    <x:row r="193">
      <x:c r="A193" s="71"/>
      <x:c r="B193" s="72"/>
      <x:c r="C193" s="72"/>
      <x:c r="D193" s="72"/>
      <x:c r="E193" s="72"/>
      <x:c r="F193" s="71"/>
      <x:c r="G193" s="73"/>
      <x:c r="H193" s="73"/>
      <x:c r="I193" s="73"/>
      <x:c r="J193" s="73"/>
      <x:c r="K193" s="73"/>
      <x:c r="L193" s="72"/>
      <x:c r="M193" s="72"/>
      <x:c r="N193" s="72"/>
    </x:row>
    <x:row r="194">
      <x:c r="A194" s="71"/>
      <x:c r="B194" s="72"/>
      <x:c r="C194" s="72"/>
      <x:c r="D194" s="72"/>
      <x:c r="E194" s="72"/>
      <x:c r="F194" s="71"/>
      <x:c r="G194" s="73"/>
      <x:c r="H194" s="73"/>
      <x:c r="I194" s="73"/>
      <x:c r="J194" s="73"/>
      <x:c r="K194" s="73"/>
      <x:c r="L194" s="72"/>
      <x:c r="M194" s="72"/>
      <x:c r="N194" s="72"/>
    </x:row>
    <x:row r="195">
      <x:c r="A195" s="71"/>
      <x:c r="B195" s="72"/>
      <x:c r="C195" s="72"/>
      <x:c r="D195" s="72"/>
      <x:c r="E195" s="72"/>
      <x:c r="F195" s="71"/>
      <x:c r="G195" s="73"/>
      <x:c r="H195" s="73"/>
      <x:c r="I195" s="73"/>
      <x:c r="J195" s="73"/>
      <x:c r="K195" s="73"/>
      <x:c r="L195" s="72"/>
      <x:c r="M195" s="72"/>
      <x:c r="N195" s="72"/>
    </x:row>
    <x:row r="196">
      <x:c r="A196" s="71"/>
      <x:c r="B196" s="72"/>
      <x:c r="C196" s="72"/>
      <x:c r="D196" s="72"/>
      <x:c r="E196" s="72"/>
      <x:c r="F196" s="71"/>
      <x:c r="G196" s="73"/>
      <x:c r="H196" s="73"/>
      <x:c r="I196" s="73"/>
      <x:c r="J196" s="73"/>
      <x:c r="K196" s="73"/>
      <x:c r="L196" s="72"/>
      <x:c r="M196" s="72"/>
      <x:c r="N196" s="72"/>
    </x:row>
    <x:row r="197">
      <x:c r="A197" s="71"/>
      <x:c r="B197" s="72"/>
      <x:c r="C197" s="72"/>
      <x:c r="D197" s="72"/>
      <x:c r="E197" s="72"/>
      <x:c r="F197" s="71"/>
      <x:c r="G197" s="73"/>
      <x:c r="H197" s="73"/>
      <x:c r="I197" s="73"/>
      <x:c r="J197" s="73"/>
      <x:c r="K197" s="73"/>
      <x:c r="L197" s="72"/>
      <x:c r="M197" s="72"/>
      <x:c r="N197" s="72"/>
    </x:row>
    <x:row r="198">
      <x:c r="A198" s="71"/>
      <x:c r="B198" s="72"/>
      <x:c r="C198" s="72"/>
      <x:c r="D198" s="72"/>
      <x:c r="E198" s="72"/>
      <x:c r="F198" s="71"/>
      <x:c r="G198" s="73"/>
      <x:c r="H198" s="73"/>
      <x:c r="I198" s="73"/>
      <x:c r="J198" s="73"/>
      <x:c r="K198" s="73"/>
      <x:c r="L198" s="72"/>
      <x:c r="M198" s="72"/>
      <x:c r="N198" s="72"/>
    </x:row>
    <x:row r="199">
      <x:c r="A199" s="71"/>
      <x:c r="B199" s="72"/>
      <x:c r="C199" s="72"/>
      <x:c r="D199" s="72"/>
      <x:c r="E199" s="72"/>
      <x:c r="F199" s="71"/>
      <x:c r="G199" s="73"/>
      <x:c r="H199" s="73"/>
      <x:c r="I199" s="73"/>
      <x:c r="J199" s="73"/>
      <x:c r="K199" s="73"/>
      <x:c r="L199" s="72"/>
      <x:c r="M199" s="72"/>
      <x:c r="N199" s="72"/>
    </x:row>
    <x:row r="200">
      <x:c r="A200" s="71"/>
      <x:c r="B200" s="72"/>
      <x:c r="C200" s="72"/>
      <x:c r="D200" s="72"/>
      <x:c r="E200" s="72"/>
      <x:c r="F200" s="71"/>
      <x:c r="G200" s="73"/>
      <x:c r="H200" s="73"/>
      <x:c r="I200" s="73"/>
      <x:c r="J200" s="73"/>
      <x:c r="K200" s="73"/>
      <x:c r="L200" s="72"/>
      <x:c r="M200" s="72"/>
      <x:c r="N200" s="72"/>
    </x:row>
  </x:sheetData>
  <x:mergeCells>
    <x:mergeCell ref="A1:N1"/>
  </x:mergeCells>
  <x:dataValidations count="2">
    <x:dataValidation type="list" sqref="I4:I200">
      <x:formula1>"검증완료,검토필요,수정요청"</x:formula1>
    </x:dataValidation>
    <x:dataValidation type="list" sqref="J4:J200">
      <x:formula1>"Y,N"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6" hidden="0" customWidth="1"/>
    <x:col min="5" max="5" width="20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24" hidden="0" customWidth="1"/>
  </x:cols>
  <x:sheetData>
    <x:row r="1" ht="30" customHeight="1">
      <x:c r="A1" s="93" t="str">
        <x:v>입력: SFDC 중요 파이프라인 및 OL 외 Bulk Deal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</x:row>
    <x:row r="3">
      <x:c r="A3" s="67" t="str">
        <x:v>구분</x:v>
      </x:c>
      <x:c r="B3" s="67" t="str">
        <x:v>기회/Deal명</x:v>
      </x:c>
      <x:c r="C3" s="67" t="str">
        <x:v>고객명</x:v>
      </x:c>
      <x:c r="D3" s="67" t="str">
        <x:v>기종코드</x:v>
      </x:c>
      <x:c r="E3" s="67" t="str">
        <x:v>기종명</x:v>
      </x:c>
      <x:c r="F3" s="67" t="str">
        <x:v>예상출고월도</x:v>
      </x:c>
      <x:c r="G3" s="67" t="str">
        <x:v>수량</x:v>
      </x:c>
      <x:c r="H3" s="67" t="str">
        <x:v>수주가능성</x:v>
      </x:c>
      <x:c r="I3" s="67" t="str">
        <x:v>OL 반영여부</x:v>
      </x:c>
      <x:c r="J3" s="67" t="str">
        <x:v>사전재고 확보</x:v>
      </x:c>
      <x:c r="K3" s="67" t="str">
        <x:v>결정상태</x:v>
      </x:c>
      <x:c r="L3" s="67" t="str">
        <x:v>담당자</x:v>
      </x:c>
      <x:c r="M3" s="67" t="str">
        <x:v>비고</x:v>
      </x:c>
    </x:row>
    <x:row r="4">
      <x:c r="A4" s="72" t="str">
        <x:v>SFDC</x:v>
      </x:c>
      <x:c r="B4" s="72" t="str">
        <x:v>Pipeline-001</x:v>
      </x:c>
      <x:c r="C4" s="72" t="str">
        <x:v>고객A</x:v>
      </x:c>
      <x:c r="D4" s="72" t="str">
        <x:v>PRT-A3-001</x:v>
      </x:c>
      <x:c r="E4" s="72" t="str">
        <x:v>A3 Printer</x:v>
      </x:c>
      <x:c r="F4" s="71" t="n">
        <x:v>46266</x:v>
      </x:c>
      <x:c r="G4" s="73" t="n">
        <x:v>15</x:v>
      </x:c>
      <x:c r="H4" s="74" t="n">
        <x:v>0.8</x:v>
      </x:c>
      <x:c r="I4" s="72" t="str">
        <x:v>Y</x:v>
      </x:c>
      <x:c r="J4" s="72" t="str">
        <x:v>N</x:v>
      </x:c>
      <x:c r="K4" s="72" t="str">
        <x:v>검토</x:v>
      </x:c>
      <x:c r="L4" s="72" t="str">
        <x:v>영업1팀</x:v>
      </x:c>
      <x:c r="M4" s="72" t="str"/>
    </x:row>
    <x:row r="5">
      <x:c r="A5" s="72" t="str">
        <x:v>Bulk Deal</x:v>
      </x:c>
      <x:c r="B5" s="72" t="str">
        <x:v>Bulk-Deal-001</x:v>
      </x:c>
      <x:c r="C5" s="72" t="str">
        <x:v>고객B</x:v>
      </x:c>
      <x:c r="D5" s="72" t="str">
        <x:v>PRT-A4-001</x:v>
      </x:c>
      <x:c r="E5" s="72" t="str">
        <x:v>A4 Printer</x:v>
      </x:c>
      <x:c r="F5" s="71" t="n">
        <x:v>46296</x:v>
      </x:c>
      <x:c r="G5" s="73" t="n">
        <x:v>30</x:v>
      </x:c>
      <x:c r="H5" s="74" t="n">
        <x:v>0.6</x:v>
      </x:c>
      <x:c r="I5" s="72" t="str">
        <x:v>N</x:v>
      </x:c>
      <x:c r="J5" s="72" t="str">
        <x:v>Y</x:v>
      </x:c>
      <x:c r="K5" s="72" t="str">
        <x:v>회의결정필요</x:v>
      </x:c>
      <x:c r="L5" s="72" t="str">
        <x:v>영업2팀</x:v>
      </x:c>
      <x:c r="M5" s="72" t="str">
        <x:v>사전확보 검토</x:v>
      </x:c>
    </x:row>
    <x:row r="6">
      <x:c r="A6" s="72" t="str">
        <x:v>SFDC</x:v>
      </x:c>
      <x:c r="B6" s="72" t="str">
        <x:v>Pipeline-002</x:v>
      </x:c>
      <x:c r="C6" s="72" t="str">
        <x:v>고객C</x:v>
      </x:c>
      <x:c r="D6" s="72" t="str">
        <x:v>PRT-A4-001</x:v>
      </x:c>
      <x:c r="E6" s="72" t="str">
        <x:v>A4 Printer</x:v>
      </x:c>
      <x:c r="F6" s="71" t="n">
        <x:v>46327</x:v>
      </x:c>
      <x:c r="G6" s="73" t="n">
        <x:v>20</x:v>
      </x:c>
      <x:c r="H6" s="74" t="n">
        <x:v>0.5</x:v>
      </x:c>
      <x:c r="I6" s="72" t="str">
        <x:v>N</x:v>
      </x:c>
      <x:c r="J6" s="72" t="str">
        <x:v>N</x:v>
      </x:c>
      <x:c r="K6" s="72" t="str">
        <x:v>참고</x:v>
      </x:c>
      <x:c r="L6" s="72" t="str">
        <x:v>영업3팀</x:v>
      </x:c>
      <x:c r="M6" s="72" t="str"/>
    </x:row>
    <x:row r="7">
      <x:c r="A7" s="72"/>
      <x:c r="B7" s="72"/>
      <x:c r="C7" s="72"/>
      <x:c r="D7" s="72"/>
      <x:c r="E7" s="72"/>
      <x:c r="F7" s="71"/>
      <x:c r="G7" s="73"/>
      <x:c r="H7" s="74"/>
      <x:c r="I7" s="72"/>
      <x:c r="J7" s="72"/>
      <x:c r="K7" s="72"/>
      <x:c r="L7" s="72"/>
      <x:c r="M7" s="72"/>
    </x:row>
    <x:row r="8">
      <x:c r="A8" s="72"/>
      <x:c r="B8" s="72"/>
      <x:c r="C8" s="72"/>
      <x:c r="D8" s="72"/>
      <x:c r="E8" s="72"/>
      <x:c r="F8" s="71"/>
      <x:c r="G8" s="73"/>
      <x:c r="H8" s="74"/>
      <x:c r="I8" s="72"/>
      <x:c r="J8" s="72"/>
      <x:c r="K8" s="72"/>
      <x:c r="L8" s="72"/>
      <x:c r="M8" s="72"/>
    </x:row>
    <x:row r="9">
      <x:c r="A9" s="72"/>
      <x:c r="B9" s="72"/>
      <x:c r="C9" s="72"/>
      <x:c r="D9" s="72"/>
      <x:c r="E9" s="72"/>
      <x:c r="F9" s="71"/>
      <x:c r="G9" s="73"/>
      <x:c r="H9" s="74"/>
      <x:c r="I9" s="72"/>
      <x:c r="J9" s="72"/>
      <x:c r="K9" s="72"/>
      <x:c r="L9" s="72"/>
      <x:c r="M9" s="72"/>
    </x:row>
    <x:row r="10">
      <x:c r="A10" s="72"/>
      <x:c r="B10" s="72"/>
      <x:c r="C10" s="72"/>
      <x:c r="D10" s="72"/>
      <x:c r="E10" s="72"/>
      <x:c r="F10" s="71"/>
      <x:c r="G10" s="73"/>
      <x:c r="H10" s="74"/>
      <x:c r="I10" s="72"/>
      <x:c r="J10" s="72"/>
      <x:c r="K10" s="72"/>
      <x:c r="L10" s="72"/>
      <x:c r="M10" s="72"/>
    </x:row>
    <x:row r="11">
      <x:c r="A11" s="72"/>
      <x:c r="B11" s="72"/>
      <x:c r="C11" s="72"/>
      <x:c r="D11" s="72"/>
      <x:c r="E11" s="72"/>
      <x:c r="F11" s="71"/>
      <x:c r="G11" s="73"/>
      <x:c r="H11" s="74"/>
      <x:c r="I11" s="72"/>
      <x:c r="J11" s="72"/>
      <x:c r="K11" s="72"/>
      <x:c r="L11" s="72"/>
      <x:c r="M11" s="72"/>
    </x:row>
    <x:row r="12">
      <x:c r="A12" s="72"/>
      <x:c r="B12" s="72"/>
      <x:c r="C12" s="72"/>
      <x:c r="D12" s="72"/>
      <x:c r="E12" s="72"/>
      <x:c r="F12" s="71"/>
      <x:c r="G12" s="73"/>
      <x:c r="H12" s="74"/>
      <x:c r="I12" s="72"/>
      <x:c r="J12" s="72"/>
      <x:c r="K12" s="72"/>
      <x:c r="L12" s="72"/>
      <x:c r="M12" s="72"/>
    </x:row>
    <x:row r="13">
      <x:c r="A13" s="72"/>
      <x:c r="B13" s="72"/>
      <x:c r="C13" s="72"/>
      <x:c r="D13" s="72"/>
      <x:c r="E13" s="72"/>
      <x:c r="F13" s="71"/>
      <x:c r="G13" s="73"/>
      <x:c r="H13" s="74"/>
      <x:c r="I13" s="72"/>
      <x:c r="J13" s="72"/>
      <x:c r="K13" s="72"/>
      <x:c r="L13" s="72"/>
      <x:c r="M13" s="72"/>
    </x:row>
    <x:row r="14">
      <x:c r="A14" s="72"/>
      <x:c r="B14" s="72"/>
      <x:c r="C14" s="72"/>
      <x:c r="D14" s="72"/>
      <x:c r="E14" s="72"/>
      <x:c r="F14" s="71"/>
      <x:c r="G14" s="73"/>
      <x:c r="H14" s="74"/>
      <x:c r="I14" s="72"/>
      <x:c r="J14" s="72"/>
      <x:c r="K14" s="72"/>
      <x:c r="L14" s="72"/>
      <x:c r="M14" s="72"/>
    </x:row>
    <x:row r="15">
      <x:c r="A15" s="72"/>
      <x:c r="B15" s="72"/>
      <x:c r="C15" s="72"/>
      <x:c r="D15" s="72"/>
      <x:c r="E15" s="72"/>
      <x:c r="F15" s="71"/>
      <x:c r="G15" s="73"/>
      <x:c r="H15" s="74"/>
      <x:c r="I15" s="72"/>
      <x:c r="J15" s="72"/>
      <x:c r="K15" s="72"/>
      <x:c r="L15" s="72"/>
      <x:c r="M15" s="72"/>
    </x:row>
    <x:row r="16">
      <x:c r="A16" s="72"/>
      <x:c r="B16" s="72"/>
      <x:c r="C16" s="72"/>
      <x:c r="D16" s="72"/>
      <x:c r="E16" s="72"/>
      <x:c r="F16" s="71"/>
      <x:c r="G16" s="73"/>
      <x:c r="H16" s="74"/>
      <x:c r="I16" s="72"/>
      <x:c r="J16" s="72"/>
      <x:c r="K16" s="72"/>
      <x:c r="L16" s="72"/>
      <x:c r="M16" s="72"/>
    </x:row>
    <x:row r="17">
      <x:c r="A17" s="72"/>
      <x:c r="B17" s="72"/>
      <x:c r="C17" s="72"/>
      <x:c r="D17" s="72"/>
      <x:c r="E17" s="72"/>
      <x:c r="F17" s="71"/>
      <x:c r="G17" s="73"/>
      <x:c r="H17" s="74"/>
      <x:c r="I17" s="72"/>
      <x:c r="J17" s="72"/>
      <x:c r="K17" s="72"/>
      <x:c r="L17" s="72"/>
      <x:c r="M17" s="72"/>
    </x:row>
    <x:row r="18">
      <x:c r="A18" s="72"/>
      <x:c r="B18" s="72"/>
      <x:c r="C18" s="72"/>
      <x:c r="D18" s="72"/>
      <x:c r="E18" s="72"/>
      <x:c r="F18" s="71"/>
      <x:c r="G18" s="73"/>
      <x:c r="H18" s="74"/>
      <x:c r="I18" s="72"/>
      <x:c r="J18" s="72"/>
      <x:c r="K18" s="72"/>
      <x:c r="L18" s="72"/>
      <x:c r="M18" s="72"/>
    </x:row>
    <x:row r="19">
      <x:c r="A19" s="72"/>
      <x:c r="B19" s="72"/>
      <x:c r="C19" s="72"/>
      <x:c r="D19" s="72"/>
      <x:c r="E19" s="72"/>
      <x:c r="F19" s="71"/>
      <x:c r="G19" s="73"/>
      <x:c r="H19" s="74"/>
      <x:c r="I19" s="72"/>
      <x:c r="J19" s="72"/>
      <x:c r="K19" s="72"/>
      <x:c r="L19" s="72"/>
      <x:c r="M19" s="72"/>
    </x:row>
    <x:row r="20">
      <x:c r="A20" s="72"/>
      <x:c r="B20" s="72"/>
      <x:c r="C20" s="72"/>
      <x:c r="D20" s="72"/>
      <x:c r="E20" s="72"/>
      <x:c r="F20" s="71"/>
      <x:c r="G20" s="73"/>
      <x:c r="H20" s="74"/>
      <x:c r="I20" s="72"/>
      <x:c r="J20" s="72"/>
      <x:c r="K20" s="72"/>
      <x:c r="L20" s="72"/>
      <x:c r="M20" s="72"/>
    </x:row>
    <x:row r="21">
      <x:c r="A21" s="72"/>
      <x:c r="B21" s="72"/>
      <x:c r="C21" s="72"/>
      <x:c r="D21" s="72"/>
      <x:c r="E21" s="72"/>
      <x:c r="F21" s="71"/>
      <x:c r="G21" s="73"/>
      <x:c r="H21" s="74"/>
      <x:c r="I21" s="72"/>
      <x:c r="J21" s="72"/>
      <x:c r="K21" s="72"/>
      <x:c r="L21" s="72"/>
      <x:c r="M21" s="72"/>
    </x:row>
    <x:row r="22">
      <x:c r="A22" s="72"/>
      <x:c r="B22" s="72"/>
      <x:c r="C22" s="72"/>
      <x:c r="D22" s="72"/>
      <x:c r="E22" s="72"/>
      <x:c r="F22" s="71"/>
      <x:c r="G22" s="73"/>
      <x:c r="H22" s="74"/>
      <x:c r="I22" s="72"/>
      <x:c r="J22" s="72"/>
      <x:c r="K22" s="72"/>
      <x:c r="L22" s="72"/>
      <x:c r="M22" s="72"/>
    </x:row>
    <x:row r="23">
      <x:c r="A23" s="72"/>
      <x:c r="B23" s="72"/>
      <x:c r="C23" s="72"/>
      <x:c r="D23" s="72"/>
      <x:c r="E23" s="72"/>
      <x:c r="F23" s="71"/>
      <x:c r="G23" s="73"/>
      <x:c r="H23" s="74"/>
      <x:c r="I23" s="72"/>
      <x:c r="J23" s="72"/>
      <x:c r="K23" s="72"/>
      <x:c r="L23" s="72"/>
      <x:c r="M23" s="72"/>
    </x:row>
    <x:row r="24">
      <x:c r="A24" s="72"/>
      <x:c r="B24" s="72"/>
      <x:c r="C24" s="72"/>
      <x:c r="D24" s="72"/>
      <x:c r="E24" s="72"/>
      <x:c r="F24" s="71"/>
      <x:c r="G24" s="73"/>
      <x:c r="H24" s="74"/>
      <x:c r="I24" s="72"/>
      <x:c r="J24" s="72"/>
      <x:c r="K24" s="72"/>
      <x:c r="L24" s="72"/>
      <x:c r="M24" s="72"/>
    </x:row>
    <x:row r="25">
      <x:c r="A25" s="72"/>
      <x:c r="B25" s="72"/>
      <x:c r="C25" s="72"/>
      <x:c r="D25" s="72"/>
      <x:c r="E25" s="72"/>
      <x:c r="F25" s="71"/>
      <x:c r="G25" s="73"/>
      <x:c r="H25" s="74"/>
      <x:c r="I25" s="72"/>
      <x:c r="J25" s="72"/>
      <x:c r="K25" s="72"/>
      <x:c r="L25" s="72"/>
      <x:c r="M25" s="72"/>
    </x:row>
    <x:row r="26">
      <x:c r="A26" s="72"/>
      <x:c r="B26" s="72"/>
      <x:c r="C26" s="72"/>
      <x:c r="D26" s="72"/>
      <x:c r="E26" s="72"/>
      <x:c r="F26" s="71"/>
      <x:c r="G26" s="73"/>
      <x:c r="H26" s="74"/>
      <x:c r="I26" s="72"/>
      <x:c r="J26" s="72"/>
      <x:c r="K26" s="72"/>
      <x:c r="L26" s="72"/>
      <x:c r="M26" s="72"/>
    </x:row>
    <x:row r="27">
      <x:c r="A27" s="72"/>
      <x:c r="B27" s="72"/>
      <x:c r="C27" s="72"/>
      <x:c r="D27" s="72"/>
      <x:c r="E27" s="72"/>
      <x:c r="F27" s="71"/>
      <x:c r="G27" s="73"/>
      <x:c r="H27" s="74"/>
      <x:c r="I27" s="72"/>
      <x:c r="J27" s="72"/>
      <x:c r="K27" s="72"/>
      <x:c r="L27" s="72"/>
      <x:c r="M27" s="72"/>
    </x:row>
    <x:row r="28">
      <x:c r="A28" s="72"/>
      <x:c r="B28" s="72"/>
      <x:c r="C28" s="72"/>
      <x:c r="D28" s="72"/>
      <x:c r="E28" s="72"/>
      <x:c r="F28" s="71"/>
      <x:c r="G28" s="73"/>
      <x:c r="H28" s="74"/>
      <x:c r="I28" s="72"/>
      <x:c r="J28" s="72"/>
      <x:c r="K28" s="72"/>
      <x:c r="L28" s="72"/>
      <x:c r="M28" s="72"/>
    </x:row>
    <x:row r="29">
      <x:c r="A29" s="72"/>
      <x:c r="B29" s="72"/>
      <x:c r="C29" s="72"/>
      <x:c r="D29" s="72"/>
      <x:c r="E29" s="72"/>
      <x:c r="F29" s="71"/>
      <x:c r="G29" s="73"/>
      <x:c r="H29" s="74"/>
      <x:c r="I29" s="72"/>
      <x:c r="J29" s="72"/>
      <x:c r="K29" s="72"/>
      <x:c r="L29" s="72"/>
      <x:c r="M29" s="72"/>
    </x:row>
    <x:row r="30">
      <x:c r="A30" s="72"/>
      <x:c r="B30" s="72"/>
      <x:c r="C30" s="72"/>
      <x:c r="D30" s="72"/>
      <x:c r="E30" s="72"/>
      <x:c r="F30" s="71"/>
      <x:c r="G30" s="73"/>
      <x:c r="H30" s="74"/>
      <x:c r="I30" s="72"/>
      <x:c r="J30" s="72"/>
      <x:c r="K30" s="72"/>
      <x:c r="L30" s="72"/>
      <x:c r="M30" s="72"/>
    </x:row>
    <x:row r="31">
      <x:c r="A31" s="72"/>
      <x:c r="B31" s="72"/>
      <x:c r="C31" s="72"/>
      <x:c r="D31" s="72"/>
      <x:c r="E31" s="72"/>
      <x:c r="F31" s="71"/>
      <x:c r="G31" s="73"/>
      <x:c r="H31" s="74"/>
      <x:c r="I31" s="72"/>
      <x:c r="J31" s="72"/>
      <x:c r="K31" s="72"/>
      <x:c r="L31" s="72"/>
      <x:c r="M31" s="72"/>
    </x:row>
    <x:row r="32">
      <x:c r="A32" s="72"/>
      <x:c r="B32" s="72"/>
      <x:c r="C32" s="72"/>
      <x:c r="D32" s="72"/>
      <x:c r="E32" s="72"/>
      <x:c r="F32" s="71"/>
      <x:c r="G32" s="73"/>
      <x:c r="H32" s="74"/>
      <x:c r="I32" s="72"/>
      <x:c r="J32" s="72"/>
      <x:c r="K32" s="72"/>
      <x:c r="L32" s="72"/>
      <x:c r="M32" s="72"/>
    </x:row>
    <x:row r="33">
      <x:c r="A33" s="72"/>
      <x:c r="B33" s="72"/>
      <x:c r="C33" s="72"/>
      <x:c r="D33" s="72"/>
      <x:c r="E33" s="72"/>
      <x:c r="F33" s="71"/>
      <x:c r="G33" s="73"/>
      <x:c r="H33" s="74"/>
      <x:c r="I33" s="72"/>
      <x:c r="J33" s="72"/>
      <x:c r="K33" s="72"/>
      <x:c r="L33" s="72"/>
      <x:c r="M33" s="72"/>
    </x:row>
    <x:row r="34">
      <x:c r="A34" s="72"/>
      <x:c r="B34" s="72"/>
      <x:c r="C34" s="72"/>
      <x:c r="D34" s="72"/>
      <x:c r="E34" s="72"/>
      <x:c r="F34" s="71"/>
      <x:c r="G34" s="73"/>
      <x:c r="H34" s="74"/>
      <x:c r="I34" s="72"/>
      <x:c r="J34" s="72"/>
      <x:c r="K34" s="72"/>
      <x:c r="L34" s="72"/>
      <x:c r="M34" s="72"/>
    </x:row>
    <x:row r="35">
      <x:c r="A35" s="72"/>
      <x:c r="B35" s="72"/>
      <x:c r="C35" s="72"/>
      <x:c r="D35" s="72"/>
      <x:c r="E35" s="72"/>
      <x:c r="F35" s="71"/>
      <x:c r="G35" s="73"/>
      <x:c r="H35" s="74"/>
      <x:c r="I35" s="72"/>
      <x:c r="J35" s="72"/>
      <x:c r="K35" s="72"/>
      <x:c r="L35" s="72"/>
      <x:c r="M35" s="72"/>
    </x:row>
    <x:row r="36">
      <x:c r="A36" s="72"/>
      <x:c r="B36" s="72"/>
      <x:c r="C36" s="72"/>
      <x:c r="D36" s="72"/>
      <x:c r="E36" s="72"/>
      <x:c r="F36" s="71"/>
      <x:c r="G36" s="73"/>
      <x:c r="H36" s="74"/>
      <x:c r="I36" s="72"/>
      <x:c r="J36" s="72"/>
      <x:c r="K36" s="72"/>
      <x:c r="L36" s="72"/>
      <x:c r="M36" s="72"/>
    </x:row>
    <x:row r="37">
      <x:c r="A37" s="72"/>
      <x:c r="B37" s="72"/>
      <x:c r="C37" s="72"/>
      <x:c r="D37" s="72"/>
      <x:c r="E37" s="72"/>
      <x:c r="F37" s="71"/>
      <x:c r="G37" s="73"/>
      <x:c r="H37" s="74"/>
      <x:c r="I37" s="72"/>
      <x:c r="J37" s="72"/>
      <x:c r="K37" s="72"/>
      <x:c r="L37" s="72"/>
      <x:c r="M37" s="72"/>
    </x:row>
    <x:row r="38">
      <x:c r="A38" s="72"/>
      <x:c r="B38" s="72"/>
      <x:c r="C38" s="72"/>
      <x:c r="D38" s="72"/>
      <x:c r="E38" s="72"/>
      <x:c r="F38" s="71"/>
      <x:c r="G38" s="73"/>
      <x:c r="H38" s="74"/>
      <x:c r="I38" s="72"/>
      <x:c r="J38" s="72"/>
      <x:c r="K38" s="72"/>
      <x:c r="L38" s="72"/>
      <x:c r="M38" s="72"/>
    </x:row>
    <x:row r="39">
      <x:c r="A39" s="72"/>
      <x:c r="B39" s="72"/>
      <x:c r="C39" s="72"/>
      <x:c r="D39" s="72"/>
      <x:c r="E39" s="72"/>
      <x:c r="F39" s="71"/>
      <x:c r="G39" s="73"/>
      <x:c r="H39" s="74"/>
      <x:c r="I39" s="72"/>
      <x:c r="J39" s="72"/>
      <x:c r="K39" s="72"/>
      <x:c r="L39" s="72"/>
      <x:c r="M39" s="72"/>
    </x:row>
    <x:row r="40">
      <x:c r="A40" s="72"/>
      <x:c r="B40" s="72"/>
      <x:c r="C40" s="72"/>
      <x:c r="D40" s="72"/>
      <x:c r="E40" s="72"/>
      <x:c r="F40" s="71"/>
      <x:c r="G40" s="73"/>
      <x:c r="H40" s="74"/>
      <x:c r="I40" s="72"/>
      <x:c r="J40" s="72"/>
      <x:c r="K40" s="72"/>
      <x:c r="L40" s="72"/>
      <x:c r="M40" s="72"/>
    </x:row>
    <x:row r="41">
      <x:c r="A41" s="72"/>
      <x:c r="B41" s="72"/>
      <x:c r="C41" s="72"/>
      <x:c r="D41" s="72"/>
      <x:c r="E41" s="72"/>
      <x:c r="F41" s="71"/>
      <x:c r="G41" s="73"/>
      <x:c r="H41" s="74"/>
      <x:c r="I41" s="72"/>
      <x:c r="J41" s="72"/>
      <x:c r="K41" s="72"/>
      <x:c r="L41" s="72"/>
      <x:c r="M41" s="72"/>
    </x:row>
    <x:row r="42">
      <x:c r="A42" s="72"/>
      <x:c r="B42" s="72"/>
      <x:c r="C42" s="72"/>
      <x:c r="D42" s="72"/>
      <x:c r="E42" s="72"/>
      <x:c r="F42" s="71"/>
      <x:c r="G42" s="73"/>
      <x:c r="H42" s="74"/>
      <x:c r="I42" s="72"/>
      <x:c r="J42" s="72"/>
      <x:c r="K42" s="72"/>
      <x:c r="L42" s="72"/>
      <x:c r="M42" s="72"/>
    </x:row>
    <x:row r="43">
      <x:c r="A43" s="72"/>
      <x:c r="B43" s="72"/>
      <x:c r="C43" s="72"/>
      <x:c r="D43" s="72"/>
      <x:c r="E43" s="72"/>
      <x:c r="F43" s="71"/>
      <x:c r="G43" s="73"/>
      <x:c r="H43" s="74"/>
      <x:c r="I43" s="72"/>
      <x:c r="J43" s="72"/>
      <x:c r="K43" s="72"/>
      <x:c r="L43" s="72"/>
      <x:c r="M43" s="72"/>
    </x:row>
    <x:row r="44">
      <x:c r="A44" s="72"/>
      <x:c r="B44" s="72"/>
      <x:c r="C44" s="72"/>
      <x:c r="D44" s="72"/>
      <x:c r="E44" s="72"/>
      <x:c r="F44" s="71"/>
      <x:c r="G44" s="73"/>
      <x:c r="H44" s="74"/>
      <x:c r="I44" s="72"/>
      <x:c r="J44" s="72"/>
      <x:c r="K44" s="72"/>
      <x:c r="L44" s="72"/>
      <x:c r="M44" s="72"/>
    </x:row>
    <x:row r="45">
      <x:c r="A45" s="72"/>
      <x:c r="B45" s="72"/>
      <x:c r="C45" s="72"/>
      <x:c r="D45" s="72"/>
      <x:c r="E45" s="72"/>
      <x:c r="F45" s="71"/>
      <x:c r="G45" s="73"/>
      <x:c r="H45" s="74"/>
      <x:c r="I45" s="72"/>
      <x:c r="J45" s="72"/>
      <x:c r="K45" s="72"/>
      <x:c r="L45" s="72"/>
      <x:c r="M45" s="72"/>
    </x:row>
    <x:row r="46">
      <x:c r="A46" s="72"/>
      <x:c r="B46" s="72"/>
      <x:c r="C46" s="72"/>
      <x:c r="D46" s="72"/>
      <x:c r="E46" s="72"/>
      <x:c r="F46" s="71"/>
      <x:c r="G46" s="73"/>
      <x:c r="H46" s="74"/>
      <x:c r="I46" s="72"/>
      <x:c r="J46" s="72"/>
      <x:c r="K46" s="72"/>
      <x:c r="L46" s="72"/>
      <x:c r="M46" s="72"/>
    </x:row>
    <x:row r="47">
      <x:c r="A47" s="72"/>
      <x:c r="B47" s="72"/>
      <x:c r="C47" s="72"/>
      <x:c r="D47" s="72"/>
      <x:c r="E47" s="72"/>
      <x:c r="F47" s="71"/>
      <x:c r="G47" s="73"/>
      <x:c r="H47" s="74"/>
      <x:c r="I47" s="72"/>
      <x:c r="J47" s="72"/>
      <x:c r="K47" s="72"/>
      <x:c r="L47" s="72"/>
      <x:c r="M47" s="72"/>
    </x:row>
    <x:row r="48">
      <x:c r="A48" s="72"/>
      <x:c r="B48" s="72"/>
      <x:c r="C48" s="72"/>
      <x:c r="D48" s="72"/>
      <x:c r="E48" s="72"/>
      <x:c r="F48" s="71"/>
      <x:c r="G48" s="73"/>
      <x:c r="H48" s="74"/>
      <x:c r="I48" s="72"/>
      <x:c r="J48" s="72"/>
      <x:c r="K48" s="72"/>
      <x:c r="L48" s="72"/>
      <x:c r="M48" s="72"/>
    </x:row>
    <x:row r="49">
      <x:c r="A49" s="72"/>
      <x:c r="B49" s="72"/>
      <x:c r="C49" s="72"/>
      <x:c r="D49" s="72"/>
      <x:c r="E49" s="72"/>
      <x:c r="F49" s="71"/>
      <x:c r="G49" s="73"/>
      <x:c r="H49" s="74"/>
      <x:c r="I49" s="72"/>
      <x:c r="J49" s="72"/>
      <x:c r="K49" s="72"/>
      <x:c r="L49" s="72"/>
      <x:c r="M49" s="72"/>
    </x:row>
    <x:row r="50">
      <x:c r="A50" s="72"/>
      <x:c r="B50" s="72"/>
      <x:c r="C50" s="72"/>
      <x:c r="D50" s="72"/>
      <x:c r="E50" s="72"/>
      <x:c r="F50" s="71"/>
      <x:c r="G50" s="73"/>
      <x:c r="H50" s="74"/>
      <x:c r="I50" s="72"/>
      <x:c r="J50" s="72"/>
      <x:c r="K50" s="72"/>
      <x:c r="L50" s="72"/>
      <x:c r="M50" s="72"/>
    </x:row>
    <x:row r="51">
      <x:c r="A51" s="72"/>
      <x:c r="B51" s="72"/>
      <x:c r="C51" s="72"/>
      <x:c r="D51" s="72"/>
      <x:c r="E51" s="72"/>
      <x:c r="F51" s="71"/>
      <x:c r="G51" s="73"/>
      <x:c r="H51" s="74"/>
      <x:c r="I51" s="72"/>
      <x:c r="J51" s="72"/>
      <x:c r="K51" s="72"/>
      <x:c r="L51" s="72"/>
      <x:c r="M51" s="72"/>
    </x:row>
    <x:row r="52">
      <x:c r="A52" s="72"/>
      <x:c r="B52" s="72"/>
      <x:c r="C52" s="72"/>
      <x:c r="D52" s="72"/>
      <x:c r="E52" s="72"/>
      <x:c r="F52" s="71"/>
      <x:c r="G52" s="73"/>
      <x:c r="H52" s="74"/>
      <x:c r="I52" s="72"/>
      <x:c r="J52" s="72"/>
      <x:c r="K52" s="72"/>
      <x:c r="L52" s="72"/>
      <x:c r="M52" s="72"/>
    </x:row>
    <x:row r="53">
      <x:c r="A53" s="72"/>
      <x:c r="B53" s="72"/>
      <x:c r="C53" s="72"/>
      <x:c r="D53" s="72"/>
      <x:c r="E53" s="72"/>
      <x:c r="F53" s="71"/>
      <x:c r="G53" s="73"/>
      <x:c r="H53" s="74"/>
      <x:c r="I53" s="72"/>
      <x:c r="J53" s="72"/>
      <x:c r="K53" s="72"/>
      <x:c r="L53" s="72"/>
      <x:c r="M53" s="72"/>
    </x:row>
    <x:row r="54">
      <x:c r="A54" s="72"/>
      <x:c r="B54" s="72"/>
      <x:c r="C54" s="72"/>
      <x:c r="D54" s="72"/>
      <x:c r="E54" s="72"/>
      <x:c r="F54" s="71"/>
      <x:c r="G54" s="73"/>
      <x:c r="H54" s="74"/>
      <x:c r="I54" s="72"/>
      <x:c r="J54" s="72"/>
      <x:c r="K54" s="72"/>
      <x:c r="L54" s="72"/>
      <x:c r="M54" s="72"/>
    </x:row>
    <x:row r="55">
      <x:c r="A55" s="72"/>
      <x:c r="B55" s="72"/>
      <x:c r="C55" s="72"/>
      <x:c r="D55" s="72"/>
      <x:c r="E55" s="72"/>
      <x:c r="F55" s="71"/>
      <x:c r="G55" s="73"/>
      <x:c r="H55" s="74"/>
      <x:c r="I55" s="72"/>
      <x:c r="J55" s="72"/>
      <x:c r="K55" s="72"/>
      <x:c r="L55" s="72"/>
      <x:c r="M55" s="72"/>
    </x:row>
    <x:row r="56">
      <x:c r="A56" s="72"/>
      <x:c r="B56" s="72"/>
      <x:c r="C56" s="72"/>
      <x:c r="D56" s="72"/>
      <x:c r="E56" s="72"/>
      <x:c r="F56" s="71"/>
      <x:c r="G56" s="73"/>
      <x:c r="H56" s="74"/>
      <x:c r="I56" s="72"/>
      <x:c r="J56" s="72"/>
      <x:c r="K56" s="72"/>
      <x:c r="L56" s="72"/>
      <x:c r="M56" s="72"/>
    </x:row>
    <x:row r="57">
      <x:c r="A57" s="72"/>
      <x:c r="B57" s="72"/>
      <x:c r="C57" s="72"/>
      <x:c r="D57" s="72"/>
      <x:c r="E57" s="72"/>
      <x:c r="F57" s="71"/>
      <x:c r="G57" s="73"/>
      <x:c r="H57" s="74"/>
      <x:c r="I57" s="72"/>
      <x:c r="J57" s="72"/>
      <x:c r="K57" s="72"/>
      <x:c r="L57" s="72"/>
      <x:c r="M57" s="72"/>
    </x:row>
    <x:row r="58">
      <x:c r="A58" s="72"/>
      <x:c r="B58" s="72"/>
      <x:c r="C58" s="72"/>
      <x:c r="D58" s="72"/>
      <x:c r="E58" s="72"/>
      <x:c r="F58" s="71"/>
      <x:c r="G58" s="73"/>
      <x:c r="H58" s="74"/>
      <x:c r="I58" s="72"/>
      <x:c r="J58" s="72"/>
      <x:c r="K58" s="72"/>
      <x:c r="L58" s="72"/>
      <x:c r="M58" s="72"/>
    </x:row>
    <x:row r="59">
      <x:c r="A59" s="72"/>
      <x:c r="B59" s="72"/>
      <x:c r="C59" s="72"/>
      <x:c r="D59" s="72"/>
      <x:c r="E59" s="72"/>
      <x:c r="F59" s="71"/>
      <x:c r="G59" s="73"/>
      <x:c r="H59" s="74"/>
      <x:c r="I59" s="72"/>
      <x:c r="J59" s="72"/>
      <x:c r="K59" s="72"/>
      <x:c r="L59" s="72"/>
      <x:c r="M59" s="72"/>
    </x:row>
    <x:row r="60">
      <x:c r="A60" s="72"/>
      <x:c r="B60" s="72"/>
      <x:c r="C60" s="72"/>
      <x:c r="D60" s="72"/>
      <x:c r="E60" s="72"/>
      <x:c r="F60" s="71"/>
      <x:c r="G60" s="73"/>
      <x:c r="H60" s="74"/>
      <x:c r="I60" s="72"/>
      <x:c r="J60" s="72"/>
      <x:c r="K60" s="72"/>
      <x:c r="L60" s="72"/>
      <x:c r="M60" s="72"/>
    </x:row>
    <x:row r="61">
      <x:c r="A61" s="72"/>
      <x:c r="B61" s="72"/>
      <x:c r="C61" s="72"/>
      <x:c r="D61" s="72"/>
      <x:c r="E61" s="72"/>
      <x:c r="F61" s="71"/>
      <x:c r="G61" s="73"/>
      <x:c r="H61" s="74"/>
      <x:c r="I61" s="72"/>
      <x:c r="J61" s="72"/>
      <x:c r="K61" s="72"/>
      <x:c r="L61" s="72"/>
      <x:c r="M61" s="72"/>
    </x:row>
    <x:row r="62">
      <x:c r="A62" s="72"/>
      <x:c r="B62" s="72"/>
      <x:c r="C62" s="72"/>
      <x:c r="D62" s="72"/>
      <x:c r="E62" s="72"/>
      <x:c r="F62" s="71"/>
      <x:c r="G62" s="73"/>
      <x:c r="H62" s="74"/>
      <x:c r="I62" s="72"/>
      <x:c r="J62" s="72"/>
      <x:c r="K62" s="72"/>
      <x:c r="L62" s="72"/>
      <x:c r="M62" s="72"/>
    </x:row>
    <x:row r="63">
      <x:c r="A63" s="72"/>
      <x:c r="B63" s="72"/>
      <x:c r="C63" s="72"/>
      <x:c r="D63" s="72"/>
      <x:c r="E63" s="72"/>
      <x:c r="F63" s="71"/>
      <x:c r="G63" s="73"/>
      <x:c r="H63" s="74"/>
      <x:c r="I63" s="72"/>
      <x:c r="J63" s="72"/>
      <x:c r="K63" s="72"/>
      <x:c r="L63" s="72"/>
      <x:c r="M63" s="72"/>
    </x:row>
    <x:row r="64">
      <x:c r="A64" s="72"/>
      <x:c r="B64" s="72"/>
      <x:c r="C64" s="72"/>
      <x:c r="D64" s="72"/>
      <x:c r="E64" s="72"/>
      <x:c r="F64" s="71"/>
      <x:c r="G64" s="73"/>
      <x:c r="H64" s="74"/>
      <x:c r="I64" s="72"/>
      <x:c r="J64" s="72"/>
      <x:c r="K64" s="72"/>
      <x:c r="L64" s="72"/>
      <x:c r="M64" s="72"/>
    </x:row>
    <x:row r="65">
      <x:c r="A65" s="72"/>
      <x:c r="B65" s="72"/>
      <x:c r="C65" s="72"/>
      <x:c r="D65" s="72"/>
      <x:c r="E65" s="72"/>
      <x:c r="F65" s="71"/>
      <x:c r="G65" s="73"/>
      <x:c r="H65" s="74"/>
      <x:c r="I65" s="72"/>
      <x:c r="J65" s="72"/>
      <x:c r="K65" s="72"/>
      <x:c r="L65" s="72"/>
      <x:c r="M65" s="72"/>
    </x:row>
    <x:row r="66">
      <x:c r="A66" s="72"/>
      <x:c r="B66" s="72"/>
      <x:c r="C66" s="72"/>
      <x:c r="D66" s="72"/>
      <x:c r="E66" s="72"/>
      <x:c r="F66" s="71"/>
      <x:c r="G66" s="73"/>
      <x:c r="H66" s="74"/>
      <x:c r="I66" s="72"/>
      <x:c r="J66" s="72"/>
      <x:c r="K66" s="72"/>
      <x:c r="L66" s="72"/>
      <x:c r="M66" s="72"/>
    </x:row>
    <x:row r="67">
      <x:c r="A67" s="72"/>
      <x:c r="B67" s="72"/>
      <x:c r="C67" s="72"/>
      <x:c r="D67" s="72"/>
      <x:c r="E67" s="72"/>
      <x:c r="F67" s="71"/>
      <x:c r="G67" s="73"/>
      <x:c r="H67" s="74"/>
      <x:c r="I67" s="72"/>
      <x:c r="J67" s="72"/>
      <x:c r="K67" s="72"/>
      <x:c r="L67" s="72"/>
      <x:c r="M67" s="72"/>
    </x:row>
    <x:row r="68">
      <x:c r="A68" s="72"/>
      <x:c r="B68" s="72"/>
      <x:c r="C68" s="72"/>
      <x:c r="D68" s="72"/>
      <x:c r="E68" s="72"/>
      <x:c r="F68" s="71"/>
      <x:c r="G68" s="73"/>
      <x:c r="H68" s="74"/>
      <x:c r="I68" s="72"/>
      <x:c r="J68" s="72"/>
      <x:c r="K68" s="72"/>
      <x:c r="L68" s="72"/>
      <x:c r="M68" s="72"/>
    </x:row>
    <x:row r="69">
      <x:c r="A69" s="72"/>
      <x:c r="B69" s="72"/>
      <x:c r="C69" s="72"/>
      <x:c r="D69" s="72"/>
      <x:c r="E69" s="72"/>
      <x:c r="F69" s="71"/>
      <x:c r="G69" s="73"/>
      <x:c r="H69" s="74"/>
      <x:c r="I69" s="72"/>
      <x:c r="J69" s="72"/>
      <x:c r="K69" s="72"/>
      <x:c r="L69" s="72"/>
      <x:c r="M69" s="72"/>
    </x:row>
    <x:row r="70">
      <x:c r="A70" s="72"/>
      <x:c r="B70" s="72"/>
      <x:c r="C70" s="72"/>
      <x:c r="D70" s="72"/>
      <x:c r="E70" s="72"/>
      <x:c r="F70" s="71"/>
      <x:c r="G70" s="73"/>
      <x:c r="H70" s="74"/>
      <x:c r="I70" s="72"/>
      <x:c r="J70" s="72"/>
      <x:c r="K70" s="72"/>
      <x:c r="L70" s="72"/>
      <x:c r="M70" s="72"/>
    </x:row>
    <x:row r="71">
      <x:c r="A71" s="72"/>
      <x:c r="B71" s="72"/>
      <x:c r="C71" s="72"/>
      <x:c r="D71" s="72"/>
      <x:c r="E71" s="72"/>
      <x:c r="F71" s="71"/>
      <x:c r="G71" s="73"/>
      <x:c r="H71" s="74"/>
      <x:c r="I71" s="72"/>
      <x:c r="J71" s="72"/>
      <x:c r="K71" s="72"/>
      <x:c r="L71" s="72"/>
      <x:c r="M71" s="72"/>
    </x:row>
    <x:row r="72">
      <x:c r="A72" s="72"/>
      <x:c r="B72" s="72"/>
      <x:c r="C72" s="72"/>
      <x:c r="D72" s="72"/>
      <x:c r="E72" s="72"/>
      <x:c r="F72" s="71"/>
      <x:c r="G72" s="73"/>
      <x:c r="H72" s="74"/>
      <x:c r="I72" s="72"/>
      <x:c r="J72" s="72"/>
      <x:c r="K72" s="72"/>
      <x:c r="L72" s="72"/>
      <x:c r="M72" s="72"/>
    </x:row>
    <x:row r="73">
      <x:c r="A73" s="72"/>
      <x:c r="B73" s="72"/>
      <x:c r="C73" s="72"/>
      <x:c r="D73" s="72"/>
      <x:c r="E73" s="72"/>
      <x:c r="F73" s="71"/>
      <x:c r="G73" s="73"/>
      <x:c r="H73" s="74"/>
      <x:c r="I73" s="72"/>
      <x:c r="J73" s="72"/>
      <x:c r="K73" s="72"/>
      <x:c r="L73" s="72"/>
      <x:c r="M73" s="72"/>
    </x:row>
    <x:row r="74">
      <x:c r="A74" s="72"/>
      <x:c r="B74" s="72"/>
      <x:c r="C74" s="72"/>
      <x:c r="D74" s="72"/>
      <x:c r="E74" s="72"/>
      <x:c r="F74" s="71"/>
      <x:c r="G74" s="73"/>
      <x:c r="H74" s="74"/>
      <x:c r="I74" s="72"/>
      <x:c r="J74" s="72"/>
      <x:c r="K74" s="72"/>
      <x:c r="L74" s="72"/>
      <x:c r="M74" s="72"/>
    </x:row>
    <x:row r="75">
      <x:c r="A75" s="72"/>
      <x:c r="B75" s="72"/>
      <x:c r="C75" s="72"/>
      <x:c r="D75" s="72"/>
      <x:c r="E75" s="72"/>
      <x:c r="F75" s="71"/>
      <x:c r="G75" s="73"/>
      <x:c r="H75" s="74"/>
      <x:c r="I75" s="72"/>
      <x:c r="J75" s="72"/>
      <x:c r="K75" s="72"/>
      <x:c r="L75" s="72"/>
      <x:c r="M75" s="72"/>
    </x:row>
    <x:row r="76">
      <x:c r="A76" s="72"/>
      <x:c r="B76" s="72"/>
      <x:c r="C76" s="72"/>
      <x:c r="D76" s="72"/>
      <x:c r="E76" s="72"/>
      <x:c r="F76" s="71"/>
      <x:c r="G76" s="73"/>
      <x:c r="H76" s="74"/>
      <x:c r="I76" s="72"/>
      <x:c r="J76" s="72"/>
      <x:c r="K76" s="72"/>
      <x:c r="L76" s="72"/>
      <x:c r="M76" s="72"/>
    </x:row>
    <x:row r="77">
      <x:c r="A77" s="72"/>
      <x:c r="B77" s="72"/>
      <x:c r="C77" s="72"/>
      <x:c r="D77" s="72"/>
      <x:c r="E77" s="72"/>
      <x:c r="F77" s="71"/>
      <x:c r="G77" s="73"/>
      <x:c r="H77" s="74"/>
      <x:c r="I77" s="72"/>
      <x:c r="J77" s="72"/>
      <x:c r="K77" s="72"/>
      <x:c r="L77" s="72"/>
      <x:c r="M77" s="72"/>
    </x:row>
    <x:row r="78">
      <x:c r="A78" s="72"/>
      <x:c r="B78" s="72"/>
      <x:c r="C78" s="72"/>
      <x:c r="D78" s="72"/>
      <x:c r="E78" s="72"/>
      <x:c r="F78" s="71"/>
      <x:c r="G78" s="73"/>
      <x:c r="H78" s="74"/>
      <x:c r="I78" s="72"/>
      <x:c r="J78" s="72"/>
      <x:c r="K78" s="72"/>
      <x:c r="L78" s="72"/>
      <x:c r="M78" s="72"/>
    </x:row>
    <x:row r="79">
      <x:c r="A79" s="72"/>
      <x:c r="B79" s="72"/>
      <x:c r="C79" s="72"/>
      <x:c r="D79" s="72"/>
      <x:c r="E79" s="72"/>
      <x:c r="F79" s="71"/>
      <x:c r="G79" s="73"/>
      <x:c r="H79" s="74"/>
      <x:c r="I79" s="72"/>
      <x:c r="J79" s="72"/>
      <x:c r="K79" s="72"/>
      <x:c r="L79" s="72"/>
      <x:c r="M79" s="72"/>
    </x:row>
    <x:row r="80">
      <x:c r="A80" s="72"/>
      <x:c r="B80" s="72"/>
      <x:c r="C80" s="72"/>
      <x:c r="D80" s="72"/>
      <x:c r="E80" s="72"/>
      <x:c r="F80" s="71"/>
      <x:c r="G80" s="73"/>
      <x:c r="H80" s="74"/>
      <x:c r="I80" s="72"/>
      <x:c r="J80" s="72"/>
      <x:c r="K80" s="72"/>
      <x:c r="L80" s="72"/>
      <x:c r="M80" s="72"/>
    </x:row>
    <x:row r="81">
      <x:c r="A81" s="72"/>
      <x:c r="B81" s="72"/>
      <x:c r="C81" s="72"/>
      <x:c r="D81" s="72"/>
      <x:c r="E81" s="72"/>
      <x:c r="F81" s="71"/>
      <x:c r="G81" s="73"/>
      <x:c r="H81" s="74"/>
      <x:c r="I81" s="72"/>
      <x:c r="J81" s="72"/>
      <x:c r="K81" s="72"/>
      <x:c r="L81" s="72"/>
      <x:c r="M81" s="72"/>
    </x:row>
    <x:row r="82">
      <x:c r="A82" s="72"/>
      <x:c r="B82" s="72"/>
      <x:c r="C82" s="72"/>
      <x:c r="D82" s="72"/>
      <x:c r="E82" s="72"/>
      <x:c r="F82" s="71"/>
      <x:c r="G82" s="73"/>
      <x:c r="H82" s="74"/>
      <x:c r="I82" s="72"/>
      <x:c r="J82" s="72"/>
      <x:c r="K82" s="72"/>
      <x:c r="L82" s="72"/>
      <x:c r="M82" s="72"/>
    </x:row>
    <x:row r="83">
      <x:c r="A83" s="72"/>
      <x:c r="B83" s="72"/>
      <x:c r="C83" s="72"/>
      <x:c r="D83" s="72"/>
      <x:c r="E83" s="72"/>
      <x:c r="F83" s="71"/>
      <x:c r="G83" s="73"/>
      <x:c r="H83" s="74"/>
      <x:c r="I83" s="72"/>
      <x:c r="J83" s="72"/>
      <x:c r="K83" s="72"/>
      <x:c r="L83" s="72"/>
      <x:c r="M83" s="72"/>
    </x:row>
    <x:row r="84">
      <x:c r="A84" s="72"/>
      <x:c r="B84" s="72"/>
      <x:c r="C84" s="72"/>
      <x:c r="D84" s="72"/>
      <x:c r="E84" s="72"/>
      <x:c r="F84" s="71"/>
      <x:c r="G84" s="73"/>
      <x:c r="H84" s="74"/>
      <x:c r="I84" s="72"/>
      <x:c r="J84" s="72"/>
      <x:c r="K84" s="72"/>
      <x:c r="L84" s="72"/>
      <x:c r="M84" s="72"/>
    </x:row>
    <x:row r="85">
      <x:c r="A85" s="72"/>
      <x:c r="B85" s="72"/>
      <x:c r="C85" s="72"/>
      <x:c r="D85" s="72"/>
      <x:c r="E85" s="72"/>
      <x:c r="F85" s="71"/>
      <x:c r="G85" s="73"/>
      <x:c r="H85" s="74"/>
      <x:c r="I85" s="72"/>
      <x:c r="J85" s="72"/>
      <x:c r="K85" s="72"/>
      <x:c r="L85" s="72"/>
      <x:c r="M85" s="72"/>
    </x:row>
    <x:row r="86">
      <x:c r="A86" s="72"/>
      <x:c r="B86" s="72"/>
      <x:c r="C86" s="72"/>
      <x:c r="D86" s="72"/>
      <x:c r="E86" s="72"/>
      <x:c r="F86" s="71"/>
      <x:c r="G86" s="73"/>
      <x:c r="H86" s="74"/>
      <x:c r="I86" s="72"/>
      <x:c r="J86" s="72"/>
      <x:c r="K86" s="72"/>
      <x:c r="L86" s="72"/>
      <x:c r="M86" s="72"/>
    </x:row>
    <x:row r="87">
      <x:c r="A87" s="72"/>
      <x:c r="B87" s="72"/>
      <x:c r="C87" s="72"/>
      <x:c r="D87" s="72"/>
      <x:c r="E87" s="72"/>
      <x:c r="F87" s="71"/>
      <x:c r="G87" s="73"/>
      <x:c r="H87" s="74"/>
      <x:c r="I87" s="72"/>
      <x:c r="J87" s="72"/>
      <x:c r="K87" s="72"/>
      <x:c r="L87" s="72"/>
      <x:c r="M87" s="72"/>
    </x:row>
    <x:row r="88">
      <x:c r="A88" s="72"/>
      <x:c r="B88" s="72"/>
      <x:c r="C88" s="72"/>
      <x:c r="D88" s="72"/>
      <x:c r="E88" s="72"/>
      <x:c r="F88" s="71"/>
      <x:c r="G88" s="73"/>
      <x:c r="H88" s="74"/>
      <x:c r="I88" s="72"/>
      <x:c r="J88" s="72"/>
      <x:c r="K88" s="72"/>
      <x:c r="L88" s="72"/>
      <x:c r="M88" s="72"/>
    </x:row>
    <x:row r="89">
      <x:c r="A89" s="72"/>
      <x:c r="B89" s="72"/>
      <x:c r="C89" s="72"/>
      <x:c r="D89" s="72"/>
      <x:c r="E89" s="72"/>
      <x:c r="F89" s="71"/>
      <x:c r="G89" s="73"/>
      <x:c r="H89" s="74"/>
      <x:c r="I89" s="72"/>
      <x:c r="J89" s="72"/>
      <x:c r="K89" s="72"/>
      <x:c r="L89" s="72"/>
      <x:c r="M89" s="72"/>
    </x:row>
    <x:row r="90">
      <x:c r="A90" s="72"/>
      <x:c r="B90" s="72"/>
      <x:c r="C90" s="72"/>
      <x:c r="D90" s="72"/>
      <x:c r="E90" s="72"/>
      <x:c r="F90" s="71"/>
      <x:c r="G90" s="73"/>
      <x:c r="H90" s="74"/>
      <x:c r="I90" s="72"/>
      <x:c r="J90" s="72"/>
      <x:c r="K90" s="72"/>
      <x:c r="L90" s="72"/>
      <x:c r="M90" s="72"/>
    </x:row>
    <x:row r="91">
      <x:c r="A91" s="72"/>
      <x:c r="B91" s="72"/>
      <x:c r="C91" s="72"/>
      <x:c r="D91" s="72"/>
      <x:c r="E91" s="72"/>
      <x:c r="F91" s="71"/>
      <x:c r="G91" s="73"/>
      <x:c r="H91" s="74"/>
      <x:c r="I91" s="72"/>
      <x:c r="J91" s="72"/>
      <x:c r="K91" s="72"/>
      <x:c r="L91" s="72"/>
      <x:c r="M91" s="72"/>
    </x:row>
    <x:row r="92">
      <x:c r="A92" s="72"/>
      <x:c r="B92" s="72"/>
      <x:c r="C92" s="72"/>
      <x:c r="D92" s="72"/>
      <x:c r="E92" s="72"/>
      <x:c r="F92" s="71"/>
      <x:c r="G92" s="73"/>
      <x:c r="H92" s="74"/>
      <x:c r="I92" s="72"/>
      <x:c r="J92" s="72"/>
      <x:c r="K92" s="72"/>
      <x:c r="L92" s="72"/>
      <x:c r="M92" s="72"/>
    </x:row>
    <x:row r="93">
      <x:c r="A93" s="72"/>
      <x:c r="B93" s="72"/>
      <x:c r="C93" s="72"/>
      <x:c r="D93" s="72"/>
      <x:c r="E93" s="72"/>
      <x:c r="F93" s="71"/>
      <x:c r="G93" s="73"/>
      <x:c r="H93" s="74"/>
      <x:c r="I93" s="72"/>
      <x:c r="J93" s="72"/>
      <x:c r="K93" s="72"/>
      <x:c r="L93" s="72"/>
      <x:c r="M93" s="72"/>
    </x:row>
    <x:row r="94">
      <x:c r="A94" s="72"/>
      <x:c r="B94" s="72"/>
      <x:c r="C94" s="72"/>
      <x:c r="D94" s="72"/>
      <x:c r="E94" s="72"/>
      <x:c r="F94" s="71"/>
      <x:c r="G94" s="73"/>
      <x:c r="H94" s="74"/>
      <x:c r="I94" s="72"/>
      <x:c r="J94" s="72"/>
      <x:c r="K94" s="72"/>
      <x:c r="L94" s="72"/>
      <x:c r="M94" s="72"/>
    </x:row>
    <x:row r="95">
      <x:c r="A95" s="72"/>
      <x:c r="B95" s="72"/>
      <x:c r="C95" s="72"/>
      <x:c r="D95" s="72"/>
      <x:c r="E95" s="72"/>
      <x:c r="F95" s="71"/>
      <x:c r="G95" s="73"/>
      <x:c r="H95" s="74"/>
      <x:c r="I95" s="72"/>
      <x:c r="J95" s="72"/>
      <x:c r="K95" s="72"/>
      <x:c r="L95" s="72"/>
      <x:c r="M95" s="72"/>
    </x:row>
    <x:row r="96">
      <x:c r="A96" s="72"/>
      <x:c r="B96" s="72"/>
      <x:c r="C96" s="72"/>
      <x:c r="D96" s="72"/>
      <x:c r="E96" s="72"/>
      <x:c r="F96" s="71"/>
      <x:c r="G96" s="73"/>
      <x:c r="H96" s="74"/>
      <x:c r="I96" s="72"/>
      <x:c r="J96" s="72"/>
      <x:c r="K96" s="72"/>
      <x:c r="L96" s="72"/>
      <x:c r="M96" s="72"/>
    </x:row>
    <x:row r="97">
      <x:c r="A97" s="72"/>
      <x:c r="B97" s="72"/>
      <x:c r="C97" s="72"/>
      <x:c r="D97" s="72"/>
      <x:c r="E97" s="72"/>
      <x:c r="F97" s="71"/>
      <x:c r="G97" s="73"/>
      <x:c r="H97" s="74"/>
      <x:c r="I97" s="72"/>
      <x:c r="J97" s="72"/>
      <x:c r="K97" s="72"/>
      <x:c r="L97" s="72"/>
      <x:c r="M97" s="72"/>
    </x:row>
    <x:row r="98">
      <x:c r="A98" s="72"/>
      <x:c r="B98" s="72"/>
      <x:c r="C98" s="72"/>
      <x:c r="D98" s="72"/>
      <x:c r="E98" s="72"/>
      <x:c r="F98" s="71"/>
      <x:c r="G98" s="73"/>
      <x:c r="H98" s="74"/>
      <x:c r="I98" s="72"/>
      <x:c r="J98" s="72"/>
      <x:c r="K98" s="72"/>
      <x:c r="L98" s="72"/>
      <x:c r="M98" s="72"/>
    </x:row>
    <x:row r="99">
      <x:c r="A99" s="72"/>
      <x:c r="B99" s="72"/>
      <x:c r="C99" s="72"/>
      <x:c r="D99" s="72"/>
      <x:c r="E99" s="72"/>
      <x:c r="F99" s="71"/>
      <x:c r="G99" s="73"/>
      <x:c r="H99" s="74"/>
      <x:c r="I99" s="72"/>
      <x:c r="J99" s="72"/>
      <x:c r="K99" s="72"/>
      <x:c r="L99" s="72"/>
      <x:c r="M99" s="72"/>
    </x:row>
    <x:row r="100">
      <x:c r="A100" s="72"/>
      <x:c r="B100" s="72"/>
      <x:c r="C100" s="72"/>
      <x:c r="D100" s="72"/>
      <x:c r="E100" s="72"/>
      <x:c r="F100" s="71"/>
      <x:c r="G100" s="73"/>
      <x:c r="H100" s="74"/>
      <x:c r="I100" s="72"/>
      <x:c r="J100" s="72"/>
      <x:c r="K100" s="72"/>
      <x:c r="L100" s="72"/>
      <x:c r="M100" s="72"/>
    </x:row>
  </x:sheetData>
  <x:mergeCells>
    <x:mergeCell ref="A1:M1"/>
  </x:mergeCells>
  <x:dataValidations count="3">
    <x:dataValidation type="list" sqref="A4:A100">
      <x:formula1>"SFDC,Bulk Deal"</x:formula1>
    </x:dataValidation>
    <x:dataValidation type="list" sqref="I4:J100">
      <x:formula1>"Y,N"</x:formula1>
    </x:dataValidation>
    <x:dataValidation type="list" sqref="K4:K100">
      <x:formula1>"검토,회의결정필요,확정,제외,참고"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22" hidden="0" customWidth="1"/>
    <x:col min="5" max="5" width="14" hidden="0" customWidth="1"/>
    <x:col min="6" max="6" width="13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6" hidden="0" customWidth="1"/>
    <x:col min="12" max="12" width="12" hidden="0" customWidth="1"/>
    <x:col min="13" max="13" width="12" hidden="0" customWidth="1"/>
    <x:col min="14" max="14" width="16" hidden="0" customWidth="1"/>
  </x:cols>
  <x:sheetData>
    <x:row r="1" ht="30" customHeight="1">
      <x:c r="A1" s="93" t="str">
        <x:v>입력: 전월 말 재고 및 Open PO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</x:row>
    <x:row r="3">
      <x:c r="A3" s="67" t="str">
        <x:v>기준월</x:v>
      </x:c>
      <x:c r="B3" s="67" t="str">
        <x:v>구분</x:v>
      </x:c>
      <x:c r="C3" s="67" t="str">
        <x:v>품목코드</x:v>
      </x:c>
      <x:c r="D3" s="67" t="str">
        <x:v>품목명</x:v>
      </x:c>
      <x:c r="E3" s="67" t="str">
        <x:v>Supplier</x:v>
      </x:c>
      <x:c r="F3" s="67" t="str">
        <x:v>필요월도</x:v>
      </x:c>
      <x:c r="G3" s="67" t="str">
        <x:v>전월 말 재고</x:v>
      </x:c>
      <x:c r="H3" s="67" t="str">
        <x:v>예약/출고예정</x:v>
      </x:c>
      <x:c r="I3" s="67" t="str">
        <x:v>보류재고</x:v>
      </x:c>
      <x:c r="J3" s="67" t="str">
        <x:v>Open PO 수량</x:v>
      </x:c>
      <x:c r="K3" s="67" t="str">
        <x:v>Open PO 입고예정일</x:v>
      </x:c>
      <x:c r="L3" s="67" t="str">
        <x:v>필요월도 전 입고</x:v>
      </x:c>
      <x:c r="M3" s="67" t="str">
        <x:v>가용재고</x:v>
      </x:c>
      <x:c r="N3" s="67" t="str">
        <x:v>비고</x:v>
      </x:c>
    </x:row>
    <x:row r="4">
      <x:c r="A4" s="71" t="n">
        <x:v>46234</x:v>
      </x:c>
      <x:c r="B4" s="72" t="str">
        <x:v>기기</x:v>
      </x:c>
      <x:c r="C4" s="72" t="str">
        <x:v>PRT-A3-001</x:v>
      </x:c>
      <x:c r="D4" s="72" t="str">
        <x:v>A3 Printer</x:v>
      </x:c>
      <x:c r="E4" s="72" t="str">
        <x:v>Supplier A</x:v>
      </x:c>
      <x:c r="F4" s="71" t="n">
        <x:v>46266</x:v>
      </x:c>
      <x:c r="G4" s="73" t="n">
        <x:v>12</x:v>
      </x:c>
      <x:c r="H4" s="73" t="n">
        <x:v>2</x:v>
      </x:c>
      <x:c r="I4" s="73" t="n">
        <x:v>0</x:v>
      </x:c>
      <x:c r="J4" s="73" t="n">
        <x:v>10</x:v>
      </x:c>
      <x:c r="K4" s="73" t="n">
        <x:v>46259</x:v>
      </x:c>
      <x:c r="L4" s="75" t="n">
        <x:f>IF(K4="",0,IF(K4&lt;=F4,J4,0))</x:f>
        <x:v>10</x:v>
      </x:c>
      <x:c r="M4" s="75" t="n">
        <x:f>G4-H4-I4+L4</x:f>
        <x:v>20</x:v>
      </x:c>
      <x:c r="N4" s="68" t="str">
        <x:v>예시</x:v>
      </x:c>
    </x:row>
    <x:row r="5">
      <x:c r="A5" s="71" t="n">
        <x:v>46234</x:v>
      </x:c>
      <x:c r="B5" s="72" t="str">
        <x:v>기기</x:v>
      </x:c>
      <x:c r="C5" s="72" t="str">
        <x:v>PRT-A4-001</x:v>
      </x:c>
      <x:c r="D5" s="72" t="str">
        <x:v>A4 Printer</x:v>
      </x:c>
      <x:c r="E5" s="72" t="str">
        <x:v>Supplier B</x:v>
      </x:c>
      <x:c r="F5" s="71" t="n">
        <x:v>46266</x:v>
      </x:c>
      <x:c r="G5" s="73" t="n">
        <x:v>25</x:v>
      </x:c>
      <x:c r="H5" s="73" t="n">
        <x:v>5</x:v>
      </x:c>
      <x:c r="I5" s="73" t="n">
        <x:v>0</x:v>
      </x:c>
      <x:c r="J5" s="73" t="n">
        <x:v>20</x:v>
      </x:c>
      <x:c r="K5" s="73" t="n">
        <x:v>46285</x:v>
      </x:c>
      <x:c r="L5" s="75" t="n">
        <x:f>IF(K5="",0,IF(K5&lt;=F5,J5,0))</x:f>
        <x:v>0</x:v>
      </x:c>
      <x:c r="M5" s="75" t="n">
        <x:f>G5-H5-I5+L5</x:f>
        <x:v>20</x:v>
      </x:c>
      <x:c r="N5" s="68" t="str">
        <x:v>예시</x:v>
      </x:c>
    </x:row>
    <x:row r="6">
      <x:c r="A6" s="71" t="n">
        <x:v>46234</x:v>
      </x:c>
      <x:c r="B6" s="72" t="str">
        <x:v>옵션</x:v>
      </x:c>
      <x:c r="C6" s="72" t="str">
        <x:v>OPT-FIN-001</x:v>
      </x:c>
      <x:c r="D6" s="72" t="str">
        <x:v>Finisher</x:v>
      </x:c>
      <x:c r="E6" s="72" t="str">
        <x:v>Supplier C</x:v>
      </x:c>
      <x:c r="F6" s="71" t="n">
        <x:v>46266</x:v>
      </x:c>
      <x:c r="G6" s="73" t="n">
        <x:v>3</x:v>
      </x:c>
      <x:c r="H6" s="73" t="n">
        <x:v>0</x:v>
      </x:c>
      <x:c r="I6" s="73" t="n">
        <x:v>0</x:v>
      </x:c>
      <x:c r="J6" s="73" t="n">
        <x:v>5</x:v>
      </x:c>
      <x:c r="K6" s="73" t="n">
        <x:v>46264</x:v>
      </x:c>
      <x:c r="L6" s="75" t="n">
        <x:f>IF(K6="",0,IF(K6&lt;=F6,J6,0))</x:f>
        <x:v>5</x:v>
      </x:c>
      <x:c r="M6" s="75" t="n">
        <x:f>G6-H6-I6+L6</x:f>
        <x:v>8</x:v>
      </x:c>
      <x:c r="N6" s="68" t="str">
        <x:v>예시</x:v>
      </x:c>
    </x:row>
    <x:row r="7">
      <x:c r="A7" s="71" t="n">
        <x:v>46234</x:v>
      </x:c>
      <x:c r="B7" s="72" t="str">
        <x:v>옵션</x:v>
      </x:c>
      <x:c r="C7" s="72" t="str">
        <x:v>OPT-TRAY-001</x:v>
      </x:c>
      <x:c r="D7" s="72" t="str">
        <x:v>Paper Tray</x:v>
      </x:c>
      <x:c r="E7" s="72" t="str">
        <x:v>Supplier C</x:v>
      </x:c>
      <x:c r="F7" s="71" t="n">
        <x:v>46266</x:v>
      </x:c>
      <x:c r="G7" s="73" t="n">
        <x:v>4</x:v>
      </x:c>
      <x:c r="H7" s="73" t="n">
        <x:v>0</x:v>
      </x:c>
      <x:c r="I7" s="73" t="n">
        <x:v>0</x:v>
      </x:c>
      <x:c r="J7" s="73" t="n">
        <x:v>10</x:v>
      </x:c>
      <x:c r="K7" s="73" t="n">
        <x:v>46290</x:v>
      </x:c>
      <x:c r="L7" s="75" t="n">
        <x:f>IF(K7="",0,IF(K7&lt;=F7,J7,0))</x:f>
        <x:v>0</x:v>
      </x:c>
      <x:c r="M7" s="75" t="n">
        <x:f>G7-H7-I7+L7</x:f>
        <x:v>4</x:v>
      </x:c>
      <x:c r="N7" s="68" t="str">
        <x:v>예시</x:v>
      </x:c>
    </x:row>
    <x:row r="8">
      <x:c r="A8" s="71" t="n">
        <x:v>46234</x:v>
      </x:c>
      <x:c r="B8" s="72" t="str">
        <x:v>소모품</x:v>
      </x:c>
      <x:c r="C8" s="72" t="str">
        <x:v>CON-TNR-001</x:v>
      </x:c>
      <x:c r="D8" s="72" t="str">
        <x:v>Toner</x:v>
      </x:c>
      <x:c r="E8" s="72" t="str">
        <x:v>Supplier D</x:v>
      </x:c>
      <x:c r="F8" s="71" t="n">
        <x:v>46266</x:v>
      </x:c>
      <x:c r="G8" s="73" t="n">
        <x:v>80</x:v>
      </x:c>
      <x:c r="H8" s="73" t="n">
        <x:v>0</x:v>
      </x:c>
      <x:c r="I8" s="73" t="n">
        <x:v>5</x:v>
      </x:c>
      <x:c r="J8" s="73" t="n">
        <x:v>0</x:v>
      </x:c>
      <x:c r="K8" s="73"/>
      <x:c r="L8" s="75" t="n">
        <x:f>IF(K8="",0,IF(K8&lt;=F8,J8,0))</x:f>
        <x:v>0</x:v>
      </x:c>
      <x:c r="M8" s="75" t="n">
        <x:f>G8-H8-I8+L8</x:f>
        <x:v>75</x:v>
      </x:c>
      <x:c r="N8" s="68" t="str">
        <x:v>예시</x:v>
      </x:c>
    </x:row>
    <x:row r="9">
      <x:c r="A9" s="71" t="n">
        <x:v>46234</x:v>
      </x:c>
      <x:c r="B9" s="72" t="str">
        <x:v>부품</x:v>
      </x:c>
      <x:c r="C9" s="72" t="str">
        <x:v>PART-001</x:v>
      </x:c>
      <x:c r="D9" s="72" t="str">
        <x:v>Maintenance Part</x:v>
      </x:c>
      <x:c r="E9" s="72" t="str">
        <x:v>Supplier E</x:v>
      </x:c>
      <x:c r="F9" s="71" t="n">
        <x:v>46266</x:v>
      </x:c>
      <x:c r="G9" s="73" t="n">
        <x:v>12</x:v>
      </x:c>
      <x:c r="H9" s="73" t="n">
        <x:v>0</x:v>
      </x:c>
      <x:c r="I9" s="73" t="n">
        <x:v>0</x:v>
      </x:c>
      <x:c r="J9" s="73" t="n">
        <x:v>0</x:v>
      </x:c>
      <x:c r="K9" s="73"/>
      <x:c r="L9" s="75" t="n">
        <x:f>IF(K9="",0,IF(K9&lt;=F9,J9,0))</x:f>
        <x:v>0</x:v>
      </x:c>
      <x:c r="M9" s="75" t="n">
        <x:f>G9-H9-I9+L9</x:f>
        <x:v>12</x:v>
      </x:c>
      <x:c r="N9" s="68" t="str">
        <x:v>예시</x:v>
      </x:c>
    </x:row>
    <x:row r="10">
      <x:c r="A10" s="71"/>
      <x:c r="B10" s="72"/>
      <x:c r="C10" s="72"/>
      <x:c r="D10" s="72"/>
      <x:c r="E10" s="72"/>
      <x:c r="F10" s="71"/>
      <x:c r="G10" s="73"/>
      <x:c r="H10" s="73"/>
      <x:c r="I10" s="73"/>
      <x:c r="J10" s="73"/>
      <x:c r="K10" s="73"/>
      <x:c r="L10" s="75" t="n">
        <x:f>IF(K10="",0,IF(K10&lt;=F10,J10,0))</x:f>
        <x:v>0</x:v>
      </x:c>
      <x:c r="M10" s="75" t="n">
        <x:f>G10-H10-I10+L10</x:f>
        <x:v>0</x:v>
      </x:c>
      <x:c r="N10" s="68"/>
    </x:row>
    <x:row r="11">
      <x:c r="A11" s="71"/>
      <x:c r="B11" s="72"/>
      <x:c r="C11" s="72"/>
      <x:c r="D11" s="72"/>
      <x:c r="E11" s="72"/>
      <x:c r="F11" s="71"/>
      <x:c r="G11" s="73"/>
      <x:c r="H11" s="73"/>
      <x:c r="I11" s="73"/>
      <x:c r="J11" s="73"/>
      <x:c r="K11" s="73"/>
      <x:c r="L11" s="75" t="n">
        <x:f>IF(K11="",0,IF(K11&lt;=F11,J11,0))</x:f>
        <x:v>0</x:v>
      </x:c>
      <x:c r="M11" s="75" t="n">
        <x:f>G11-H11-I11+L11</x:f>
        <x:v>0</x:v>
      </x:c>
      <x:c r="N11" s="68"/>
    </x:row>
    <x:row r="12">
      <x:c r="A12" s="71"/>
      <x:c r="B12" s="72"/>
      <x:c r="C12" s="72"/>
      <x:c r="D12" s="72"/>
      <x:c r="E12" s="72"/>
      <x:c r="F12" s="71"/>
      <x:c r="G12" s="73"/>
      <x:c r="H12" s="73"/>
      <x:c r="I12" s="73"/>
      <x:c r="J12" s="73"/>
      <x:c r="K12" s="73"/>
      <x:c r="L12" s="75" t="n">
        <x:f>IF(K12="",0,IF(K12&lt;=F12,J12,0))</x:f>
        <x:v>0</x:v>
      </x:c>
      <x:c r="M12" s="75" t="n">
        <x:f>G12-H12-I12+L12</x:f>
        <x:v>0</x:v>
      </x:c>
      <x:c r="N12" s="68"/>
    </x:row>
    <x:row r="13">
      <x:c r="A13" s="71"/>
      <x:c r="B13" s="72"/>
      <x:c r="C13" s="72"/>
      <x:c r="D13" s="72"/>
      <x:c r="E13" s="72"/>
      <x:c r="F13" s="71"/>
      <x:c r="G13" s="73"/>
      <x:c r="H13" s="73"/>
      <x:c r="I13" s="73"/>
      <x:c r="J13" s="73"/>
      <x:c r="K13" s="73"/>
      <x:c r="L13" s="75" t="n">
        <x:f>IF(K13="",0,IF(K13&lt;=F13,J13,0))</x:f>
        <x:v>0</x:v>
      </x:c>
      <x:c r="M13" s="75" t="n">
        <x:f>G13-H13-I13+L13</x:f>
        <x:v>0</x:v>
      </x:c>
      <x:c r="N13" s="68"/>
    </x:row>
    <x:row r="14">
      <x:c r="A14" s="71"/>
      <x:c r="B14" s="72"/>
      <x:c r="C14" s="72"/>
      <x:c r="D14" s="72"/>
      <x:c r="E14" s="72"/>
      <x:c r="F14" s="71"/>
      <x:c r="G14" s="73"/>
      <x:c r="H14" s="73"/>
      <x:c r="I14" s="73"/>
      <x:c r="J14" s="73"/>
      <x:c r="K14" s="73"/>
      <x:c r="L14" s="75" t="n">
        <x:f>IF(K14="",0,IF(K14&lt;=F14,J14,0))</x:f>
        <x:v>0</x:v>
      </x:c>
      <x:c r="M14" s="75" t="n">
        <x:f>G14-H14-I14+L14</x:f>
        <x:v>0</x:v>
      </x:c>
      <x:c r="N14" s="68"/>
    </x:row>
    <x:row r="15">
      <x:c r="A15" s="71"/>
      <x:c r="B15" s="72"/>
      <x:c r="C15" s="72"/>
      <x:c r="D15" s="72"/>
      <x:c r="E15" s="72"/>
      <x:c r="F15" s="71"/>
      <x:c r="G15" s="73"/>
      <x:c r="H15" s="73"/>
      <x:c r="I15" s="73"/>
      <x:c r="J15" s="73"/>
      <x:c r="K15" s="73"/>
      <x:c r="L15" s="75" t="n">
        <x:f>IF(K15="",0,IF(K15&lt;=F15,J15,0))</x:f>
        <x:v>0</x:v>
      </x:c>
      <x:c r="M15" s="75" t="n">
        <x:f>G15-H15-I15+L15</x:f>
        <x:v>0</x:v>
      </x:c>
      <x:c r="N15" s="68"/>
    </x:row>
    <x:row r="16">
      <x:c r="A16" s="71"/>
      <x:c r="B16" s="72"/>
      <x:c r="C16" s="72"/>
      <x:c r="D16" s="72"/>
      <x:c r="E16" s="72"/>
      <x:c r="F16" s="71"/>
      <x:c r="G16" s="73"/>
      <x:c r="H16" s="73"/>
      <x:c r="I16" s="73"/>
      <x:c r="J16" s="73"/>
      <x:c r="K16" s="73"/>
      <x:c r="L16" s="75" t="n">
        <x:f>IF(K16="",0,IF(K16&lt;=F16,J16,0))</x:f>
        <x:v>0</x:v>
      </x:c>
      <x:c r="M16" s="75" t="n">
        <x:f>G16-H16-I16+L16</x:f>
        <x:v>0</x:v>
      </x:c>
      <x:c r="N16" s="68"/>
    </x:row>
    <x:row r="17">
      <x:c r="A17" s="71"/>
      <x:c r="B17" s="72"/>
      <x:c r="C17" s="72"/>
      <x:c r="D17" s="72"/>
      <x:c r="E17" s="72"/>
      <x:c r="F17" s="71"/>
      <x:c r="G17" s="73"/>
      <x:c r="H17" s="73"/>
      <x:c r="I17" s="73"/>
      <x:c r="J17" s="73"/>
      <x:c r="K17" s="73"/>
      <x:c r="L17" s="75" t="n">
        <x:f>IF(K17="",0,IF(K17&lt;=F17,J17,0))</x:f>
        <x:v>0</x:v>
      </x:c>
      <x:c r="M17" s="75" t="n">
        <x:f>G17-H17-I17+L17</x:f>
        <x:v>0</x:v>
      </x:c>
      <x:c r="N17" s="68"/>
    </x:row>
    <x:row r="18">
      <x:c r="A18" s="71"/>
      <x:c r="B18" s="72"/>
      <x:c r="C18" s="72"/>
      <x:c r="D18" s="72"/>
      <x:c r="E18" s="72"/>
      <x:c r="F18" s="71"/>
      <x:c r="G18" s="73"/>
      <x:c r="H18" s="73"/>
      <x:c r="I18" s="73"/>
      <x:c r="J18" s="73"/>
      <x:c r="K18" s="73"/>
      <x:c r="L18" s="75" t="n">
        <x:f>IF(K18="",0,IF(K18&lt;=F18,J18,0))</x:f>
        <x:v>0</x:v>
      </x:c>
      <x:c r="M18" s="75" t="n">
        <x:f>G18-H18-I18+L18</x:f>
        <x:v>0</x:v>
      </x:c>
      <x:c r="N18" s="68"/>
    </x:row>
    <x:row r="19">
      <x:c r="A19" s="71"/>
      <x:c r="B19" s="72"/>
      <x:c r="C19" s="72"/>
      <x:c r="D19" s="72"/>
      <x:c r="E19" s="72"/>
      <x:c r="F19" s="71"/>
      <x:c r="G19" s="73"/>
      <x:c r="H19" s="73"/>
      <x:c r="I19" s="73"/>
      <x:c r="J19" s="73"/>
      <x:c r="K19" s="73"/>
      <x:c r="L19" s="75" t="n">
        <x:f>IF(K19="",0,IF(K19&lt;=F19,J19,0))</x:f>
        <x:v>0</x:v>
      </x:c>
      <x:c r="M19" s="75" t="n">
        <x:f>G19-H19-I19+L19</x:f>
        <x:v>0</x:v>
      </x:c>
      <x:c r="N19" s="68"/>
    </x:row>
    <x:row r="20">
      <x:c r="A20" s="71"/>
      <x:c r="B20" s="72"/>
      <x:c r="C20" s="72"/>
      <x:c r="D20" s="72"/>
      <x:c r="E20" s="72"/>
      <x:c r="F20" s="71"/>
      <x:c r="G20" s="73"/>
      <x:c r="H20" s="73"/>
      <x:c r="I20" s="73"/>
      <x:c r="J20" s="73"/>
      <x:c r="K20" s="73"/>
      <x:c r="L20" s="75" t="n">
        <x:f>IF(K20="",0,IF(K20&lt;=F20,J20,0))</x:f>
        <x:v>0</x:v>
      </x:c>
      <x:c r="M20" s="75" t="n">
        <x:f>G20-H20-I20+L20</x:f>
        <x:v>0</x:v>
      </x:c>
      <x:c r="N20" s="68"/>
    </x:row>
    <x:row r="21">
      <x:c r="A21" s="71"/>
      <x:c r="B21" s="72"/>
      <x:c r="C21" s="72"/>
      <x:c r="D21" s="72"/>
      <x:c r="E21" s="72"/>
      <x:c r="F21" s="71"/>
      <x:c r="G21" s="73"/>
      <x:c r="H21" s="73"/>
      <x:c r="I21" s="73"/>
      <x:c r="J21" s="73"/>
      <x:c r="K21" s="73"/>
      <x:c r="L21" s="75" t="n">
        <x:f>IF(K21="",0,IF(K21&lt;=F21,J21,0))</x:f>
        <x:v>0</x:v>
      </x:c>
      <x:c r="M21" s="75" t="n">
        <x:f>G21-H21-I21+L21</x:f>
        <x:v>0</x:v>
      </x:c>
      <x:c r="N21" s="68"/>
    </x:row>
    <x:row r="22">
      <x:c r="A22" s="71"/>
      <x:c r="B22" s="72"/>
      <x:c r="C22" s="72"/>
      <x:c r="D22" s="72"/>
      <x:c r="E22" s="72"/>
      <x:c r="F22" s="71"/>
      <x:c r="G22" s="73"/>
      <x:c r="H22" s="73"/>
      <x:c r="I22" s="73"/>
      <x:c r="J22" s="73"/>
      <x:c r="K22" s="73"/>
      <x:c r="L22" s="75" t="n">
        <x:f>IF(K22="",0,IF(K22&lt;=F22,J22,0))</x:f>
        <x:v>0</x:v>
      </x:c>
      <x:c r="M22" s="75" t="n">
        <x:f>G22-H22-I22+L22</x:f>
        <x:v>0</x:v>
      </x:c>
      <x:c r="N22" s="68"/>
    </x:row>
    <x:row r="23">
      <x:c r="A23" s="71"/>
      <x:c r="B23" s="72"/>
      <x:c r="C23" s="72"/>
      <x:c r="D23" s="72"/>
      <x:c r="E23" s="72"/>
      <x:c r="F23" s="71"/>
      <x:c r="G23" s="73"/>
      <x:c r="H23" s="73"/>
      <x:c r="I23" s="73"/>
      <x:c r="J23" s="73"/>
      <x:c r="K23" s="73"/>
      <x:c r="L23" s="75" t="n">
        <x:f>IF(K23="",0,IF(K23&lt;=F23,J23,0))</x:f>
        <x:v>0</x:v>
      </x:c>
      <x:c r="M23" s="75" t="n">
        <x:f>G23-H23-I23+L23</x:f>
        <x:v>0</x:v>
      </x:c>
      <x:c r="N23" s="68"/>
    </x:row>
    <x:row r="24">
      <x:c r="A24" s="71"/>
      <x:c r="B24" s="72"/>
      <x:c r="C24" s="72"/>
      <x:c r="D24" s="72"/>
      <x:c r="E24" s="72"/>
      <x:c r="F24" s="71"/>
      <x:c r="G24" s="73"/>
      <x:c r="H24" s="73"/>
      <x:c r="I24" s="73"/>
      <x:c r="J24" s="73"/>
      <x:c r="K24" s="73"/>
      <x:c r="L24" s="75" t="n">
        <x:f>IF(K24="",0,IF(K24&lt;=F24,J24,0))</x:f>
        <x:v>0</x:v>
      </x:c>
      <x:c r="M24" s="75" t="n">
        <x:f>G24-H24-I24+L24</x:f>
        <x:v>0</x:v>
      </x:c>
      <x:c r="N24" s="68"/>
    </x:row>
    <x:row r="25">
      <x:c r="A25" s="71"/>
      <x:c r="B25" s="72"/>
      <x:c r="C25" s="72"/>
      <x:c r="D25" s="72"/>
      <x:c r="E25" s="72"/>
      <x:c r="F25" s="71"/>
      <x:c r="G25" s="73"/>
      <x:c r="H25" s="73"/>
      <x:c r="I25" s="73"/>
      <x:c r="J25" s="73"/>
      <x:c r="K25" s="73"/>
      <x:c r="L25" s="75" t="n">
        <x:f>IF(K25="",0,IF(K25&lt;=F25,J25,0))</x:f>
        <x:v>0</x:v>
      </x:c>
      <x:c r="M25" s="75" t="n">
        <x:f>G25-H25-I25+L25</x:f>
        <x:v>0</x:v>
      </x:c>
      <x:c r="N25" s="68"/>
    </x:row>
    <x:row r="26">
      <x:c r="A26" s="71"/>
      <x:c r="B26" s="72"/>
      <x:c r="C26" s="72"/>
      <x:c r="D26" s="72"/>
      <x:c r="E26" s="72"/>
      <x:c r="F26" s="71"/>
      <x:c r="G26" s="73"/>
      <x:c r="H26" s="73"/>
      <x:c r="I26" s="73"/>
      <x:c r="J26" s="73"/>
      <x:c r="K26" s="73"/>
      <x:c r="L26" s="75" t="n">
        <x:f>IF(K26="",0,IF(K26&lt;=F26,J26,0))</x:f>
        <x:v>0</x:v>
      </x:c>
      <x:c r="M26" s="75" t="n">
        <x:f>G26-H26-I26+L26</x:f>
        <x:v>0</x:v>
      </x:c>
      <x:c r="N26" s="68"/>
    </x:row>
    <x:row r="27">
      <x:c r="A27" s="71"/>
      <x:c r="B27" s="72"/>
      <x:c r="C27" s="72"/>
      <x:c r="D27" s="72"/>
      <x:c r="E27" s="72"/>
      <x:c r="F27" s="71"/>
      <x:c r="G27" s="73"/>
      <x:c r="H27" s="73"/>
      <x:c r="I27" s="73"/>
      <x:c r="J27" s="73"/>
      <x:c r="K27" s="73"/>
      <x:c r="L27" s="75" t="n">
        <x:f>IF(K27="",0,IF(K27&lt;=F27,J27,0))</x:f>
        <x:v>0</x:v>
      </x:c>
      <x:c r="M27" s="75" t="n">
        <x:f>G27-H27-I27+L27</x:f>
        <x:v>0</x:v>
      </x:c>
      <x:c r="N27" s="68"/>
    </x:row>
    <x:row r="28">
      <x:c r="A28" s="71"/>
      <x:c r="B28" s="72"/>
      <x:c r="C28" s="72"/>
      <x:c r="D28" s="72"/>
      <x:c r="E28" s="72"/>
      <x:c r="F28" s="71"/>
      <x:c r="G28" s="73"/>
      <x:c r="H28" s="73"/>
      <x:c r="I28" s="73"/>
      <x:c r="J28" s="73"/>
      <x:c r="K28" s="73"/>
      <x:c r="L28" s="75" t="n">
        <x:f>IF(K28="",0,IF(K28&lt;=F28,J28,0))</x:f>
        <x:v>0</x:v>
      </x:c>
      <x:c r="M28" s="75" t="n">
        <x:f>G28-H28-I28+L28</x:f>
        <x:v>0</x:v>
      </x:c>
      <x:c r="N28" s="68"/>
    </x:row>
    <x:row r="29">
      <x:c r="A29" s="71"/>
      <x:c r="B29" s="72"/>
      <x:c r="C29" s="72"/>
      <x:c r="D29" s="72"/>
      <x:c r="E29" s="72"/>
      <x:c r="F29" s="71"/>
      <x:c r="G29" s="73"/>
      <x:c r="H29" s="73"/>
      <x:c r="I29" s="73"/>
      <x:c r="J29" s="73"/>
      <x:c r="K29" s="73"/>
      <x:c r="L29" s="75" t="n">
        <x:f>IF(K29="",0,IF(K29&lt;=F29,J29,0))</x:f>
        <x:v>0</x:v>
      </x:c>
      <x:c r="M29" s="75" t="n">
        <x:f>G29-H29-I29+L29</x:f>
        <x:v>0</x:v>
      </x:c>
      <x:c r="N29" s="68"/>
    </x:row>
    <x:row r="30">
      <x:c r="A30" s="71"/>
      <x:c r="B30" s="72"/>
      <x:c r="C30" s="72"/>
      <x:c r="D30" s="72"/>
      <x:c r="E30" s="72"/>
      <x:c r="F30" s="71"/>
      <x:c r="G30" s="73"/>
      <x:c r="H30" s="73"/>
      <x:c r="I30" s="73"/>
      <x:c r="J30" s="73"/>
      <x:c r="K30" s="73"/>
      <x:c r="L30" s="75" t="n">
        <x:f>IF(K30="",0,IF(K30&lt;=F30,J30,0))</x:f>
        <x:v>0</x:v>
      </x:c>
      <x:c r="M30" s="75" t="n">
        <x:f>G30-H30-I30+L30</x:f>
        <x:v>0</x:v>
      </x:c>
      <x:c r="N30" s="68"/>
    </x:row>
    <x:row r="31">
      <x:c r="A31" s="71"/>
      <x:c r="B31" s="72"/>
      <x:c r="C31" s="72"/>
      <x:c r="D31" s="72"/>
      <x:c r="E31" s="72"/>
      <x:c r="F31" s="71"/>
      <x:c r="G31" s="73"/>
      <x:c r="H31" s="73"/>
      <x:c r="I31" s="73"/>
      <x:c r="J31" s="73"/>
      <x:c r="K31" s="73"/>
      <x:c r="L31" s="75" t="n">
        <x:f>IF(K31="",0,IF(K31&lt;=F31,J31,0))</x:f>
        <x:v>0</x:v>
      </x:c>
      <x:c r="M31" s="75" t="n">
        <x:f>G31-H31-I31+L31</x:f>
        <x:v>0</x:v>
      </x:c>
      <x:c r="N31" s="68"/>
    </x:row>
    <x:row r="32">
      <x:c r="A32" s="71"/>
      <x:c r="B32" s="72"/>
      <x:c r="C32" s="72"/>
      <x:c r="D32" s="72"/>
      <x:c r="E32" s="72"/>
      <x:c r="F32" s="71"/>
      <x:c r="G32" s="73"/>
      <x:c r="H32" s="73"/>
      <x:c r="I32" s="73"/>
      <x:c r="J32" s="73"/>
      <x:c r="K32" s="73"/>
      <x:c r="L32" s="75" t="n">
        <x:f>IF(K32="",0,IF(K32&lt;=F32,J32,0))</x:f>
        <x:v>0</x:v>
      </x:c>
      <x:c r="M32" s="75" t="n">
        <x:f>G32-H32-I32+L32</x:f>
        <x:v>0</x:v>
      </x:c>
      <x:c r="N32" s="68"/>
    </x:row>
    <x:row r="33">
      <x:c r="A33" s="71"/>
      <x:c r="B33" s="72"/>
      <x:c r="C33" s="72"/>
      <x:c r="D33" s="72"/>
      <x:c r="E33" s="72"/>
      <x:c r="F33" s="71"/>
      <x:c r="G33" s="73"/>
      <x:c r="H33" s="73"/>
      <x:c r="I33" s="73"/>
      <x:c r="J33" s="73"/>
      <x:c r="K33" s="73"/>
      <x:c r="L33" s="75" t="n">
        <x:f>IF(K33="",0,IF(K33&lt;=F33,J33,0))</x:f>
        <x:v>0</x:v>
      </x:c>
      <x:c r="M33" s="75" t="n">
        <x:f>G33-H33-I33+L33</x:f>
        <x:v>0</x:v>
      </x:c>
      <x:c r="N33" s="68"/>
    </x:row>
    <x:row r="34">
      <x:c r="A34" s="71"/>
      <x:c r="B34" s="72"/>
      <x:c r="C34" s="72"/>
      <x:c r="D34" s="72"/>
      <x:c r="E34" s="72"/>
      <x:c r="F34" s="71"/>
      <x:c r="G34" s="73"/>
      <x:c r="H34" s="73"/>
      <x:c r="I34" s="73"/>
      <x:c r="J34" s="73"/>
      <x:c r="K34" s="73"/>
      <x:c r="L34" s="75" t="n">
        <x:f>IF(K34="",0,IF(K34&lt;=F34,J34,0))</x:f>
        <x:v>0</x:v>
      </x:c>
      <x:c r="M34" s="75" t="n">
        <x:f>G34-H34-I34+L34</x:f>
        <x:v>0</x:v>
      </x:c>
      <x:c r="N34" s="68"/>
    </x:row>
    <x:row r="35">
      <x:c r="A35" s="71"/>
      <x:c r="B35" s="72"/>
      <x:c r="C35" s="72"/>
      <x:c r="D35" s="72"/>
      <x:c r="E35" s="72"/>
      <x:c r="F35" s="71"/>
      <x:c r="G35" s="73"/>
      <x:c r="H35" s="73"/>
      <x:c r="I35" s="73"/>
      <x:c r="J35" s="73"/>
      <x:c r="K35" s="73"/>
      <x:c r="L35" s="75" t="n">
        <x:f>IF(K35="",0,IF(K35&lt;=F35,J35,0))</x:f>
        <x:v>0</x:v>
      </x:c>
      <x:c r="M35" s="75" t="n">
        <x:f>G35-H35-I35+L35</x:f>
        <x:v>0</x:v>
      </x:c>
      <x:c r="N35" s="68"/>
    </x:row>
    <x:row r="36">
      <x:c r="A36" s="71"/>
      <x:c r="B36" s="72"/>
      <x:c r="C36" s="72"/>
      <x:c r="D36" s="72"/>
      <x:c r="E36" s="72"/>
      <x:c r="F36" s="71"/>
      <x:c r="G36" s="73"/>
      <x:c r="H36" s="73"/>
      <x:c r="I36" s="73"/>
      <x:c r="J36" s="73"/>
      <x:c r="K36" s="73"/>
      <x:c r="L36" s="75" t="n">
        <x:f>IF(K36="",0,IF(K36&lt;=F36,J36,0))</x:f>
        <x:v>0</x:v>
      </x:c>
      <x:c r="M36" s="75" t="n">
        <x:f>G36-H36-I36+L36</x:f>
        <x:v>0</x:v>
      </x:c>
      <x:c r="N36" s="68"/>
    </x:row>
    <x:row r="37">
      <x:c r="A37" s="71"/>
      <x:c r="B37" s="72"/>
      <x:c r="C37" s="72"/>
      <x:c r="D37" s="72"/>
      <x:c r="E37" s="72"/>
      <x:c r="F37" s="71"/>
      <x:c r="G37" s="73"/>
      <x:c r="H37" s="73"/>
      <x:c r="I37" s="73"/>
      <x:c r="J37" s="73"/>
      <x:c r="K37" s="73"/>
      <x:c r="L37" s="75" t="n">
        <x:f>IF(K37="",0,IF(K37&lt;=F37,J37,0))</x:f>
        <x:v>0</x:v>
      </x:c>
      <x:c r="M37" s="75" t="n">
        <x:f>G37-H37-I37+L37</x:f>
        <x:v>0</x:v>
      </x:c>
      <x:c r="N37" s="68"/>
    </x:row>
    <x:row r="38">
      <x:c r="A38" s="71"/>
      <x:c r="B38" s="72"/>
      <x:c r="C38" s="72"/>
      <x:c r="D38" s="72"/>
      <x:c r="E38" s="72"/>
      <x:c r="F38" s="71"/>
      <x:c r="G38" s="73"/>
      <x:c r="H38" s="73"/>
      <x:c r="I38" s="73"/>
      <x:c r="J38" s="73"/>
      <x:c r="K38" s="73"/>
      <x:c r="L38" s="75" t="n">
        <x:f>IF(K38="",0,IF(K38&lt;=F38,J38,0))</x:f>
        <x:v>0</x:v>
      </x:c>
      <x:c r="M38" s="75" t="n">
        <x:f>G38-H38-I38+L38</x:f>
        <x:v>0</x:v>
      </x:c>
      <x:c r="N38" s="68"/>
    </x:row>
    <x:row r="39">
      <x:c r="A39" s="71"/>
      <x:c r="B39" s="72"/>
      <x:c r="C39" s="72"/>
      <x:c r="D39" s="72"/>
      <x:c r="E39" s="72"/>
      <x:c r="F39" s="71"/>
      <x:c r="G39" s="73"/>
      <x:c r="H39" s="73"/>
      <x:c r="I39" s="73"/>
      <x:c r="J39" s="73"/>
      <x:c r="K39" s="73"/>
      <x:c r="L39" s="75" t="n">
        <x:f>IF(K39="",0,IF(K39&lt;=F39,J39,0))</x:f>
        <x:v>0</x:v>
      </x:c>
      <x:c r="M39" s="75" t="n">
        <x:f>G39-H39-I39+L39</x:f>
        <x:v>0</x:v>
      </x:c>
      <x:c r="N39" s="68"/>
    </x:row>
    <x:row r="40">
      <x:c r="A40" s="71"/>
      <x:c r="B40" s="72"/>
      <x:c r="C40" s="72"/>
      <x:c r="D40" s="72"/>
      <x:c r="E40" s="72"/>
      <x:c r="F40" s="71"/>
      <x:c r="G40" s="73"/>
      <x:c r="H40" s="73"/>
      <x:c r="I40" s="73"/>
      <x:c r="J40" s="73"/>
      <x:c r="K40" s="73"/>
      <x:c r="L40" s="75" t="n">
        <x:f>IF(K40="",0,IF(K40&lt;=F40,J40,0))</x:f>
        <x:v>0</x:v>
      </x:c>
      <x:c r="M40" s="75" t="n">
        <x:f>G40-H40-I40+L40</x:f>
        <x:v>0</x:v>
      </x:c>
      <x:c r="N40" s="68"/>
    </x:row>
    <x:row r="41">
      <x:c r="A41" s="71"/>
      <x:c r="B41" s="72"/>
      <x:c r="C41" s="72"/>
      <x:c r="D41" s="72"/>
      <x:c r="E41" s="72"/>
      <x:c r="F41" s="71"/>
      <x:c r="G41" s="73"/>
      <x:c r="H41" s="73"/>
      <x:c r="I41" s="73"/>
      <x:c r="J41" s="73"/>
      <x:c r="K41" s="73"/>
      <x:c r="L41" s="75" t="n">
        <x:f>IF(K41="",0,IF(K41&lt;=F41,J41,0))</x:f>
        <x:v>0</x:v>
      </x:c>
      <x:c r="M41" s="75" t="n">
        <x:f>G41-H41-I41+L41</x:f>
        <x:v>0</x:v>
      </x:c>
      <x:c r="N41" s="68"/>
    </x:row>
    <x:row r="42">
      <x:c r="A42" s="71"/>
      <x:c r="B42" s="72"/>
      <x:c r="C42" s="72"/>
      <x:c r="D42" s="72"/>
      <x:c r="E42" s="72"/>
      <x:c r="F42" s="71"/>
      <x:c r="G42" s="73"/>
      <x:c r="H42" s="73"/>
      <x:c r="I42" s="73"/>
      <x:c r="J42" s="73"/>
      <x:c r="K42" s="73"/>
      <x:c r="L42" s="75" t="n">
        <x:f>IF(K42="",0,IF(K42&lt;=F42,J42,0))</x:f>
        <x:v>0</x:v>
      </x:c>
      <x:c r="M42" s="75" t="n">
        <x:f>G42-H42-I42+L42</x:f>
        <x:v>0</x:v>
      </x:c>
      <x:c r="N42" s="68"/>
    </x:row>
    <x:row r="43">
      <x:c r="A43" s="71"/>
      <x:c r="B43" s="72"/>
      <x:c r="C43" s="72"/>
      <x:c r="D43" s="72"/>
      <x:c r="E43" s="72"/>
      <x:c r="F43" s="71"/>
      <x:c r="G43" s="73"/>
      <x:c r="H43" s="73"/>
      <x:c r="I43" s="73"/>
      <x:c r="J43" s="73"/>
      <x:c r="K43" s="73"/>
      <x:c r="L43" s="75" t="n">
        <x:f>IF(K43="",0,IF(K43&lt;=F43,J43,0))</x:f>
        <x:v>0</x:v>
      </x:c>
      <x:c r="M43" s="75" t="n">
        <x:f>G43-H43-I43+L43</x:f>
        <x:v>0</x:v>
      </x:c>
      <x:c r="N43" s="68"/>
    </x:row>
    <x:row r="44">
      <x:c r="A44" s="71"/>
      <x:c r="B44" s="72"/>
      <x:c r="C44" s="72"/>
      <x:c r="D44" s="72"/>
      <x:c r="E44" s="72"/>
      <x:c r="F44" s="71"/>
      <x:c r="G44" s="73"/>
      <x:c r="H44" s="73"/>
      <x:c r="I44" s="73"/>
      <x:c r="J44" s="73"/>
      <x:c r="K44" s="73"/>
      <x:c r="L44" s="75" t="n">
        <x:f>IF(K44="",0,IF(K44&lt;=F44,J44,0))</x:f>
        <x:v>0</x:v>
      </x:c>
      <x:c r="M44" s="75" t="n">
        <x:f>G44-H44-I44+L44</x:f>
        <x:v>0</x:v>
      </x:c>
      <x:c r="N44" s="68"/>
    </x:row>
    <x:row r="45">
      <x:c r="A45" s="71"/>
      <x:c r="B45" s="72"/>
      <x:c r="C45" s="72"/>
      <x:c r="D45" s="72"/>
      <x:c r="E45" s="72"/>
      <x:c r="F45" s="71"/>
      <x:c r="G45" s="73"/>
      <x:c r="H45" s="73"/>
      <x:c r="I45" s="73"/>
      <x:c r="J45" s="73"/>
      <x:c r="K45" s="73"/>
      <x:c r="L45" s="75" t="n">
        <x:f>IF(K45="",0,IF(K45&lt;=F45,J45,0))</x:f>
        <x:v>0</x:v>
      </x:c>
      <x:c r="M45" s="75" t="n">
        <x:f>G45-H45-I45+L45</x:f>
        <x:v>0</x:v>
      </x:c>
      <x:c r="N45" s="68"/>
    </x:row>
    <x:row r="46">
      <x:c r="A46" s="71"/>
      <x:c r="B46" s="72"/>
      <x:c r="C46" s="72"/>
      <x:c r="D46" s="72"/>
      <x:c r="E46" s="72"/>
      <x:c r="F46" s="71"/>
      <x:c r="G46" s="73"/>
      <x:c r="H46" s="73"/>
      <x:c r="I46" s="73"/>
      <x:c r="J46" s="73"/>
      <x:c r="K46" s="73"/>
      <x:c r="L46" s="75" t="n">
        <x:f>IF(K46="",0,IF(K46&lt;=F46,J46,0))</x:f>
        <x:v>0</x:v>
      </x:c>
      <x:c r="M46" s="75" t="n">
        <x:f>G46-H46-I46+L46</x:f>
        <x:v>0</x:v>
      </x:c>
      <x:c r="N46" s="68"/>
    </x:row>
    <x:row r="47">
      <x:c r="A47" s="71"/>
      <x:c r="B47" s="72"/>
      <x:c r="C47" s="72"/>
      <x:c r="D47" s="72"/>
      <x:c r="E47" s="72"/>
      <x:c r="F47" s="71"/>
      <x:c r="G47" s="73"/>
      <x:c r="H47" s="73"/>
      <x:c r="I47" s="73"/>
      <x:c r="J47" s="73"/>
      <x:c r="K47" s="73"/>
      <x:c r="L47" s="75" t="n">
        <x:f>IF(K47="",0,IF(K47&lt;=F47,J47,0))</x:f>
        <x:v>0</x:v>
      </x:c>
      <x:c r="M47" s="75" t="n">
        <x:f>G47-H47-I47+L47</x:f>
        <x:v>0</x:v>
      </x:c>
      <x:c r="N47" s="68"/>
    </x:row>
    <x:row r="48">
      <x:c r="A48" s="71"/>
      <x:c r="B48" s="72"/>
      <x:c r="C48" s="72"/>
      <x:c r="D48" s="72"/>
      <x:c r="E48" s="72"/>
      <x:c r="F48" s="71"/>
      <x:c r="G48" s="73"/>
      <x:c r="H48" s="73"/>
      <x:c r="I48" s="73"/>
      <x:c r="J48" s="73"/>
      <x:c r="K48" s="73"/>
      <x:c r="L48" s="75" t="n">
        <x:f>IF(K48="",0,IF(K48&lt;=F48,J48,0))</x:f>
        <x:v>0</x:v>
      </x:c>
      <x:c r="M48" s="75" t="n">
        <x:f>G48-H48-I48+L48</x:f>
        <x:v>0</x:v>
      </x:c>
      <x:c r="N48" s="68"/>
    </x:row>
    <x:row r="49">
      <x:c r="A49" s="71"/>
      <x:c r="B49" s="72"/>
      <x:c r="C49" s="72"/>
      <x:c r="D49" s="72"/>
      <x:c r="E49" s="72"/>
      <x:c r="F49" s="71"/>
      <x:c r="G49" s="73"/>
      <x:c r="H49" s="73"/>
      <x:c r="I49" s="73"/>
      <x:c r="J49" s="73"/>
      <x:c r="K49" s="73"/>
      <x:c r="L49" s="75" t="n">
        <x:f>IF(K49="",0,IF(K49&lt;=F49,J49,0))</x:f>
        <x:v>0</x:v>
      </x:c>
      <x:c r="M49" s="75" t="n">
        <x:f>G49-H49-I49+L49</x:f>
        <x:v>0</x:v>
      </x:c>
      <x:c r="N49" s="68"/>
    </x:row>
    <x:row r="50">
      <x:c r="A50" s="71"/>
      <x:c r="B50" s="72"/>
      <x:c r="C50" s="72"/>
      <x:c r="D50" s="72"/>
      <x:c r="E50" s="72"/>
      <x:c r="F50" s="71"/>
      <x:c r="G50" s="73"/>
      <x:c r="H50" s="73"/>
      <x:c r="I50" s="73"/>
      <x:c r="J50" s="73"/>
      <x:c r="K50" s="73"/>
      <x:c r="L50" s="75" t="n">
        <x:f>IF(K50="",0,IF(K50&lt;=F50,J50,0))</x:f>
        <x:v>0</x:v>
      </x:c>
      <x:c r="M50" s="75" t="n">
        <x:f>G50-H50-I50+L50</x:f>
        <x:v>0</x:v>
      </x:c>
      <x:c r="N50" s="68"/>
    </x:row>
    <x:row r="51">
      <x:c r="A51" s="71"/>
      <x:c r="B51" s="72"/>
      <x:c r="C51" s="72"/>
      <x:c r="D51" s="72"/>
      <x:c r="E51" s="72"/>
      <x:c r="F51" s="71"/>
      <x:c r="G51" s="73"/>
      <x:c r="H51" s="73"/>
      <x:c r="I51" s="73"/>
      <x:c r="J51" s="73"/>
      <x:c r="K51" s="73"/>
      <x:c r="L51" s="75" t="n">
        <x:f>IF(K51="",0,IF(K51&lt;=F51,J51,0))</x:f>
        <x:v>0</x:v>
      </x:c>
      <x:c r="M51" s="75" t="n">
        <x:f>G51-H51-I51+L51</x:f>
        <x:v>0</x:v>
      </x:c>
      <x:c r="N51" s="68"/>
    </x:row>
    <x:row r="52">
      <x:c r="A52" s="71"/>
      <x:c r="B52" s="72"/>
      <x:c r="C52" s="72"/>
      <x:c r="D52" s="72"/>
      <x:c r="E52" s="72"/>
      <x:c r="F52" s="71"/>
      <x:c r="G52" s="73"/>
      <x:c r="H52" s="73"/>
      <x:c r="I52" s="73"/>
      <x:c r="J52" s="73"/>
      <x:c r="K52" s="73"/>
      <x:c r="L52" s="75" t="n">
        <x:f>IF(K52="",0,IF(K52&lt;=F52,J52,0))</x:f>
        <x:v>0</x:v>
      </x:c>
      <x:c r="M52" s="75" t="n">
        <x:f>G52-H52-I52+L52</x:f>
        <x:v>0</x:v>
      </x:c>
      <x:c r="N52" s="68"/>
    </x:row>
    <x:row r="53">
      <x:c r="A53" s="71"/>
      <x:c r="B53" s="72"/>
      <x:c r="C53" s="72"/>
      <x:c r="D53" s="72"/>
      <x:c r="E53" s="72"/>
      <x:c r="F53" s="71"/>
      <x:c r="G53" s="73"/>
      <x:c r="H53" s="73"/>
      <x:c r="I53" s="73"/>
      <x:c r="J53" s="73"/>
      <x:c r="K53" s="73"/>
      <x:c r="L53" s="75" t="n">
        <x:f>IF(K53="",0,IF(K53&lt;=F53,J53,0))</x:f>
        <x:v>0</x:v>
      </x:c>
      <x:c r="M53" s="75" t="n">
        <x:f>G53-H53-I53+L53</x:f>
        <x:v>0</x:v>
      </x:c>
      <x:c r="N53" s="68"/>
    </x:row>
    <x:row r="54">
      <x:c r="A54" s="71"/>
      <x:c r="B54" s="72"/>
      <x:c r="C54" s="72"/>
      <x:c r="D54" s="72"/>
      <x:c r="E54" s="72"/>
      <x:c r="F54" s="71"/>
      <x:c r="G54" s="73"/>
      <x:c r="H54" s="73"/>
      <x:c r="I54" s="73"/>
      <x:c r="J54" s="73"/>
      <x:c r="K54" s="73"/>
      <x:c r="L54" s="75" t="n">
        <x:f>IF(K54="",0,IF(K54&lt;=F54,J54,0))</x:f>
        <x:v>0</x:v>
      </x:c>
      <x:c r="M54" s="75" t="n">
        <x:f>G54-H54-I54+L54</x:f>
        <x:v>0</x:v>
      </x:c>
      <x:c r="N54" s="68"/>
    </x:row>
    <x:row r="55">
      <x:c r="A55" s="71"/>
      <x:c r="B55" s="72"/>
      <x:c r="C55" s="72"/>
      <x:c r="D55" s="72"/>
      <x:c r="E55" s="72"/>
      <x:c r="F55" s="71"/>
      <x:c r="G55" s="73"/>
      <x:c r="H55" s="73"/>
      <x:c r="I55" s="73"/>
      <x:c r="J55" s="73"/>
      <x:c r="K55" s="73"/>
      <x:c r="L55" s="75" t="n">
        <x:f>IF(K55="",0,IF(K55&lt;=F55,J55,0))</x:f>
        <x:v>0</x:v>
      </x:c>
      <x:c r="M55" s="75" t="n">
        <x:f>G55-H55-I55+L55</x:f>
        <x:v>0</x:v>
      </x:c>
      <x:c r="N55" s="68"/>
    </x:row>
    <x:row r="56">
      <x:c r="A56" s="71"/>
      <x:c r="B56" s="72"/>
      <x:c r="C56" s="72"/>
      <x:c r="D56" s="72"/>
      <x:c r="E56" s="72"/>
      <x:c r="F56" s="71"/>
      <x:c r="G56" s="73"/>
      <x:c r="H56" s="73"/>
      <x:c r="I56" s="73"/>
      <x:c r="J56" s="73"/>
      <x:c r="K56" s="73"/>
      <x:c r="L56" s="75" t="n">
        <x:f>IF(K56="",0,IF(K56&lt;=F56,J56,0))</x:f>
        <x:v>0</x:v>
      </x:c>
      <x:c r="M56" s="75" t="n">
        <x:f>G56-H56-I56+L56</x:f>
        <x:v>0</x:v>
      </x:c>
      <x:c r="N56" s="68"/>
    </x:row>
    <x:row r="57">
      <x:c r="A57" s="71"/>
      <x:c r="B57" s="72"/>
      <x:c r="C57" s="72"/>
      <x:c r="D57" s="72"/>
      <x:c r="E57" s="72"/>
      <x:c r="F57" s="71"/>
      <x:c r="G57" s="73"/>
      <x:c r="H57" s="73"/>
      <x:c r="I57" s="73"/>
      <x:c r="J57" s="73"/>
      <x:c r="K57" s="73"/>
      <x:c r="L57" s="75" t="n">
        <x:f>IF(K57="",0,IF(K57&lt;=F57,J57,0))</x:f>
        <x:v>0</x:v>
      </x:c>
      <x:c r="M57" s="75" t="n">
        <x:f>G57-H57-I57+L57</x:f>
        <x:v>0</x:v>
      </x:c>
      <x:c r="N57" s="68"/>
    </x:row>
    <x:row r="58">
      <x:c r="A58" s="71"/>
      <x:c r="B58" s="72"/>
      <x:c r="C58" s="72"/>
      <x:c r="D58" s="72"/>
      <x:c r="E58" s="72"/>
      <x:c r="F58" s="71"/>
      <x:c r="G58" s="73"/>
      <x:c r="H58" s="73"/>
      <x:c r="I58" s="73"/>
      <x:c r="J58" s="73"/>
      <x:c r="K58" s="73"/>
      <x:c r="L58" s="75" t="n">
        <x:f>IF(K58="",0,IF(K58&lt;=F58,J58,0))</x:f>
        <x:v>0</x:v>
      </x:c>
      <x:c r="M58" s="75" t="n">
        <x:f>G58-H58-I58+L58</x:f>
        <x:v>0</x:v>
      </x:c>
      <x:c r="N58" s="68"/>
    </x:row>
    <x:row r="59">
      <x:c r="A59" s="71"/>
      <x:c r="B59" s="72"/>
      <x:c r="C59" s="72"/>
      <x:c r="D59" s="72"/>
      <x:c r="E59" s="72"/>
      <x:c r="F59" s="71"/>
      <x:c r="G59" s="73"/>
      <x:c r="H59" s="73"/>
      <x:c r="I59" s="73"/>
      <x:c r="J59" s="73"/>
      <x:c r="K59" s="73"/>
      <x:c r="L59" s="75" t="n">
        <x:f>IF(K59="",0,IF(K59&lt;=F59,J59,0))</x:f>
        <x:v>0</x:v>
      </x:c>
      <x:c r="M59" s="75" t="n">
        <x:f>G59-H59-I59+L59</x:f>
        <x:v>0</x:v>
      </x:c>
      <x:c r="N59" s="68"/>
    </x:row>
    <x:row r="60">
      <x:c r="A60" s="71"/>
      <x:c r="B60" s="72"/>
      <x:c r="C60" s="72"/>
      <x:c r="D60" s="72"/>
      <x:c r="E60" s="72"/>
      <x:c r="F60" s="71"/>
      <x:c r="G60" s="73"/>
      <x:c r="H60" s="73"/>
      <x:c r="I60" s="73"/>
      <x:c r="J60" s="73"/>
      <x:c r="K60" s="73"/>
      <x:c r="L60" s="75" t="n">
        <x:f>IF(K60="",0,IF(K60&lt;=F60,J60,0))</x:f>
        <x:v>0</x:v>
      </x:c>
      <x:c r="M60" s="75" t="n">
        <x:f>G60-H60-I60+L60</x:f>
        <x:v>0</x:v>
      </x:c>
      <x:c r="N60" s="68"/>
    </x:row>
    <x:row r="61">
      <x:c r="A61" s="71"/>
      <x:c r="B61" s="72"/>
      <x:c r="C61" s="72"/>
      <x:c r="D61" s="72"/>
      <x:c r="E61" s="72"/>
      <x:c r="F61" s="71"/>
      <x:c r="G61" s="73"/>
      <x:c r="H61" s="73"/>
      <x:c r="I61" s="73"/>
      <x:c r="J61" s="73"/>
      <x:c r="K61" s="73"/>
      <x:c r="L61" s="75" t="n">
        <x:f>IF(K61="",0,IF(K61&lt;=F61,J61,0))</x:f>
        <x:v>0</x:v>
      </x:c>
      <x:c r="M61" s="75" t="n">
        <x:f>G61-H61-I61+L61</x:f>
        <x:v>0</x:v>
      </x:c>
      <x:c r="N61" s="68"/>
    </x:row>
    <x:row r="62">
      <x:c r="A62" s="71"/>
      <x:c r="B62" s="72"/>
      <x:c r="C62" s="72"/>
      <x:c r="D62" s="72"/>
      <x:c r="E62" s="72"/>
      <x:c r="F62" s="71"/>
      <x:c r="G62" s="73"/>
      <x:c r="H62" s="73"/>
      <x:c r="I62" s="73"/>
      <x:c r="J62" s="73"/>
      <x:c r="K62" s="73"/>
      <x:c r="L62" s="75" t="n">
        <x:f>IF(K62="",0,IF(K62&lt;=F62,J62,0))</x:f>
        <x:v>0</x:v>
      </x:c>
      <x:c r="M62" s="75" t="n">
        <x:f>G62-H62-I62+L62</x:f>
        <x:v>0</x:v>
      </x:c>
      <x:c r="N62" s="68"/>
    </x:row>
    <x:row r="63">
      <x:c r="A63" s="71"/>
      <x:c r="B63" s="72"/>
      <x:c r="C63" s="72"/>
      <x:c r="D63" s="72"/>
      <x:c r="E63" s="72"/>
      <x:c r="F63" s="71"/>
      <x:c r="G63" s="73"/>
      <x:c r="H63" s="73"/>
      <x:c r="I63" s="73"/>
      <x:c r="J63" s="73"/>
      <x:c r="K63" s="73"/>
      <x:c r="L63" s="75" t="n">
        <x:f>IF(K63="",0,IF(K63&lt;=F63,J63,0))</x:f>
        <x:v>0</x:v>
      </x:c>
      <x:c r="M63" s="75" t="n">
        <x:f>G63-H63-I63+L63</x:f>
        <x:v>0</x:v>
      </x:c>
      <x:c r="N63" s="68"/>
    </x:row>
    <x:row r="64">
      <x:c r="A64" s="71"/>
      <x:c r="B64" s="72"/>
      <x:c r="C64" s="72"/>
      <x:c r="D64" s="72"/>
      <x:c r="E64" s="72"/>
      <x:c r="F64" s="71"/>
      <x:c r="G64" s="73"/>
      <x:c r="H64" s="73"/>
      <x:c r="I64" s="73"/>
      <x:c r="J64" s="73"/>
      <x:c r="K64" s="73"/>
      <x:c r="L64" s="75" t="n">
        <x:f>IF(K64="",0,IF(K64&lt;=F64,J64,0))</x:f>
        <x:v>0</x:v>
      </x:c>
      <x:c r="M64" s="75" t="n">
        <x:f>G64-H64-I64+L64</x:f>
        <x:v>0</x:v>
      </x:c>
      <x:c r="N64" s="68"/>
    </x:row>
    <x:row r="65">
      <x:c r="A65" s="71"/>
      <x:c r="B65" s="72"/>
      <x:c r="C65" s="72"/>
      <x:c r="D65" s="72"/>
      <x:c r="E65" s="72"/>
      <x:c r="F65" s="71"/>
      <x:c r="G65" s="73"/>
      <x:c r="H65" s="73"/>
      <x:c r="I65" s="73"/>
      <x:c r="J65" s="73"/>
      <x:c r="K65" s="73"/>
      <x:c r="L65" s="75" t="n">
        <x:f>IF(K65="",0,IF(K65&lt;=F65,J65,0))</x:f>
        <x:v>0</x:v>
      </x:c>
      <x:c r="M65" s="75" t="n">
        <x:f>G65-H65-I65+L65</x:f>
        <x:v>0</x:v>
      </x:c>
      <x:c r="N65" s="68"/>
    </x:row>
    <x:row r="66">
      <x:c r="A66" s="71"/>
      <x:c r="B66" s="72"/>
      <x:c r="C66" s="72"/>
      <x:c r="D66" s="72"/>
      <x:c r="E66" s="72"/>
      <x:c r="F66" s="71"/>
      <x:c r="G66" s="73"/>
      <x:c r="H66" s="73"/>
      <x:c r="I66" s="73"/>
      <x:c r="J66" s="73"/>
      <x:c r="K66" s="73"/>
      <x:c r="L66" s="75" t="n">
        <x:f>IF(K66="",0,IF(K66&lt;=F66,J66,0))</x:f>
        <x:v>0</x:v>
      </x:c>
      <x:c r="M66" s="75" t="n">
        <x:f>G66-H66-I66+L66</x:f>
        <x:v>0</x:v>
      </x:c>
      <x:c r="N66" s="68"/>
    </x:row>
    <x:row r="67">
      <x:c r="A67" s="71"/>
      <x:c r="B67" s="72"/>
      <x:c r="C67" s="72"/>
      <x:c r="D67" s="72"/>
      <x:c r="E67" s="72"/>
      <x:c r="F67" s="71"/>
      <x:c r="G67" s="73"/>
      <x:c r="H67" s="73"/>
      <x:c r="I67" s="73"/>
      <x:c r="J67" s="73"/>
      <x:c r="K67" s="73"/>
      <x:c r="L67" s="75" t="n">
        <x:f>IF(K67="",0,IF(K67&lt;=F67,J67,0))</x:f>
        <x:v>0</x:v>
      </x:c>
      <x:c r="M67" s="75" t="n">
        <x:f>G67-H67-I67+L67</x:f>
        <x:v>0</x:v>
      </x:c>
      <x:c r="N67" s="68"/>
    </x:row>
    <x:row r="68">
      <x:c r="A68" s="71"/>
      <x:c r="B68" s="72"/>
      <x:c r="C68" s="72"/>
      <x:c r="D68" s="72"/>
      <x:c r="E68" s="72"/>
      <x:c r="F68" s="71"/>
      <x:c r="G68" s="73"/>
      <x:c r="H68" s="73"/>
      <x:c r="I68" s="73"/>
      <x:c r="J68" s="73"/>
      <x:c r="K68" s="73"/>
      <x:c r="L68" s="75" t="n">
        <x:f>IF(K68="",0,IF(K68&lt;=F68,J68,0))</x:f>
        <x:v>0</x:v>
      </x:c>
      <x:c r="M68" s="75" t="n">
        <x:f>G68-H68-I68+L68</x:f>
        <x:v>0</x:v>
      </x:c>
      <x:c r="N68" s="68"/>
    </x:row>
    <x:row r="69">
      <x:c r="A69" s="71"/>
      <x:c r="B69" s="72"/>
      <x:c r="C69" s="72"/>
      <x:c r="D69" s="72"/>
      <x:c r="E69" s="72"/>
      <x:c r="F69" s="71"/>
      <x:c r="G69" s="73"/>
      <x:c r="H69" s="73"/>
      <x:c r="I69" s="73"/>
      <x:c r="J69" s="73"/>
      <x:c r="K69" s="73"/>
      <x:c r="L69" s="75" t="n">
        <x:f>IF(K69="",0,IF(K69&lt;=F69,J69,0))</x:f>
        <x:v>0</x:v>
      </x:c>
      <x:c r="M69" s="75" t="n">
        <x:f>G69-H69-I69+L69</x:f>
        <x:v>0</x:v>
      </x:c>
      <x:c r="N69" s="68"/>
    </x:row>
    <x:row r="70">
      <x:c r="A70" s="71"/>
      <x:c r="B70" s="72"/>
      <x:c r="C70" s="72"/>
      <x:c r="D70" s="72"/>
      <x:c r="E70" s="72"/>
      <x:c r="F70" s="71"/>
      <x:c r="G70" s="73"/>
      <x:c r="H70" s="73"/>
      <x:c r="I70" s="73"/>
      <x:c r="J70" s="73"/>
      <x:c r="K70" s="73"/>
      <x:c r="L70" s="75" t="n">
        <x:f>IF(K70="",0,IF(K70&lt;=F70,J70,0))</x:f>
        <x:v>0</x:v>
      </x:c>
      <x:c r="M70" s="75" t="n">
        <x:f>G70-H70-I70+L70</x:f>
        <x:v>0</x:v>
      </x:c>
      <x:c r="N70" s="68"/>
    </x:row>
    <x:row r="71">
      <x:c r="A71" s="71"/>
      <x:c r="B71" s="72"/>
      <x:c r="C71" s="72"/>
      <x:c r="D71" s="72"/>
      <x:c r="E71" s="72"/>
      <x:c r="F71" s="71"/>
      <x:c r="G71" s="73"/>
      <x:c r="H71" s="73"/>
      <x:c r="I71" s="73"/>
      <x:c r="J71" s="73"/>
      <x:c r="K71" s="73"/>
      <x:c r="L71" s="75" t="n">
        <x:f>IF(K71="",0,IF(K71&lt;=F71,J71,0))</x:f>
        <x:v>0</x:v>
      </x:c>
      <x:c r="M71" s="75" t="n">
        <x:f>G71-H71-I71+L71</x:f>
        <x:v>0</x:v>
      </x:c>
      <x:c r="N71" s="68"/>
    </x:row>
    <x:row r="72">
      <x:c r="A72" s="71"/>
      <x:c r="B72" s="72"/>
      <x:c r="C72" s="72"/>
      <x:c r="D72" s="72"/>
      <x:c r="E72" s="72"/>
      <x:c r="F72" s="71"/>
      <x:c r="G72" s="73"/>
      <x:c r="H72" s="73"/>
      <x:c r="I72" s="73"/>
      <x:c r="J72" s="73"/>
      <x:c r="K72" s="73"/>
      <x:c r="L72" s="75" t="n">
        <x:f>IF(K72="",0,IF(K72&lt;=F72,J72,0))</x:f>
        <x:v>0</x:v>
      </x:c>
      <x:c r="M72" s="75" t="n">
        <x:f>G72-H72-I72+L72</x:f>
        <x:v>0</x:v>
      </x:c>
      <x:c r="N72" s="68"/>
    </x:row>
    <x:row r="73">
      <x:c r="A73" s="71"/>
      <x:c r="B73" s="72"/>
      <x:c r="C73" s="72"/>
      <x:c r="D73" s="72"/>
      <x:c r="E73" s="72"/>
      <x:c r="F73" s="71"/>
      <x:c r="G73" s="73"/>
      <x:c r="H73" s="73"/>
      <x:c r="I73" s="73"/>
      <x:c r="J73" s="73"/>
      <x:c r="K73" s="73"/>
      <x:c r="L73" s="75" t="n">
        <x:f>IF(K73="",0,IF(K73&lt;=F73,J73,0))</x:f>
        <x:v>0</x:v>
      </x:c>
      <x:c r="M73" s="75" t="n">
        <x:f>G73-H73-I73+L73</x:f>
        <x:v>0</x:v>
      </x:c>
      <x:c r="N73" s="68"/>
    </x:row>
    <x:row r="74">
      <x:c r="A74" s="71"/>
      <x:c r="B74" s="72"/>
      <x:c r="C74" s="72"/>
      <x:c r="D74" s="72"/>
      <x:c r="E74" s="72"/>
      <x:c r="F74" s="71"/>
      <x:c r="G74" s="73"/>
      <x:c r="H74" s="73"/>
      <x:c r="I74" s="73"/>
      <x:c r="J74" s="73"/>
      <x:c r="K74" s="73"/>
      <x:c r="L74" s="75" t="n">
        <x:f>IF(K74="",0,IF(K74&lt;=F74,J74,0))</x:f>
        <x:v>0</x:v>
      </x:c>
      <x:c r="M74" s="75" t="n">
        <x:f>G74-H74-I74+L74</x:f>
        <x:v>0</x:v>
      </x:c>
      <x:c r="N74" s="68"/>
    </x:row>
    <x:row r="75">
      <x:c r="A75" s="71"/>
      <x:c r="B75" s="72"/>
      <x:c r="C75" s="72"/>
      <x:c r="D75" s="72"/>
      <x:c r="E75" s="72"/>
      <x:c r="F75" s="71"/>
      <x:c r="G75" s="73"/>
      <x:c r="H75" s="73"/>
      <x:c r="I75" s="73"/>
      <x:c r="J75" s="73"/>
      <x:c r="K75" s="73"/>
      <x:c r="L75" s="75" t="n">
        <x:f>IF(K75="",0,IF(K75&lt;=F75,J75,0))</x:f>
        <x:v>0</x:v>
      </x:c>
      <x:c r="M75" s="75" t="n">
        <x:f>G75-H75-I75+L75</x:f>
        <x:v>0</x:v>
      </x:c>
      <x:c r="N75" s="68"/>
    </x:row>
    <x:row r="76">
      <x:c r="A76" s="71"/>
      <x:c r="B76" s="72"/>
      <x:c r="C76" s="72"/>
      <x:c r="D76" s="72"/>
      <x:c r="E76" s="72"/>
      <x:c r="F76" s="71"/>
      <x:c r="G76" s="73"/>
      <x:c r="H76" s="73"/>
      <x:c r="I76" s="73"/>
      <x:c r="J76" s="73"/>
      <x:c r="K76" s="73"/>
      <x:c r="L76" s="75" t="n">
        <x:f>IF(K76="",0,IF(K76&lt;=F76,J76,0))</x:f>
        <x:v>0</x:v>
      </x:c>
      <x:c r="M76" s="75" t="n">
        <x:f>G76-H76-I76+L76</x:f>
        <x:v>0</x:v>
      </x:c>
      <x:c r="N76" s="68"/>
    </x:row>
    <x:row r="77">
      <x:c r="A77" s="71"/>
      <x:c r="B77" s="72"/>
      <x:c r="C77" s="72"/>
      <x:c r="D77" s="72"/>
      <x:c r="E77" s="72"/>
      <x:c r="F77" s="71"/>
      <x:c r="G77" s="73"/>
      <x:c r="H77" s="73"/>
      <x:c r="I77" s="73"/>
      <x:c r="J77" s="73"/>
      <x:c r="K77" s="73"/>
      <x:c r="L77" s="75" t="n">
        <x:f>IF(K77="",0,IF(K77&lt;=F77,J77,0))</x:f>
        <x:v>0</x:v>
      </x:c>
      <x:c r="M77" s="75" t="n">
        <x:f>G77-H77-I77+L77</x:f>
        <x:v>0</x:v>
      </x:c>
      <x:c r="N77" s="68"/>
    </x:row>
    <x:row r="78">
      <x:c r="A78" s="71"/>
      <x:c r="B78" s="72"/>
      <x:c r="C78" s="72"/>
      <x:c r="D78" s="72"/>
      <x:c r="E78" s="72"/>
      <x:c r="F78" s="71"/>
      <x:c r="G78" s="73"/>
      <x:c r="H78" s="73"/>
      <x:c r="I78" s="73"/>
      <x:c r="J78" s="73"/>
      <x:c r="K78" s="73"/>
      <x:c r="L78" s="75" t="n">
        <x:f>IF(K78="",0,IF(K78&lt;=F78,J78,0))</x:f>
        <x:v>0</x:v>
      </x:c>
      <x:c r="M78" s="75" t="n">
        <x:f>G78-H78-I78+L78</x:f>
        <x:v>0</x:v>
      </x:c>
      <x:c r="N78" s="68"/>
    </x:row>
    <x:row r="79">
      <x:c r="A79" s="71"/>
      <x:c r="B79" s="72"/>
      <x:c r="C79" s="72"/>
      <x:c r="D79" s="72"/>
      <x:c r="E79" s="72"/>
      <x:c r="F79" s="71"/>
      <x:c r="G79" s="73"/>
      <x:c r="H79" s="73"/>
      <x:c r="I79" s="73"/>
      <x:c r="J79" s="73"/>
      <x:c r="K79" s="73"/>
      <x:c r="L79" s="75" t="n">
        <x:f>IF(K79="",0,IF(K79&lt;=F79,J79,0))</x:f>
        <x:v>0</x:v>
      </x:c>
      <x:c r="M79" s="75" t="n">
        <x:f>G79-H79-I79+L79</x:f>
        <x:v>0</x:v>
      </x:c>
      <x:c r="N79" s="68"/>
    </x:row>
    <x:row r="80">
      <x:c r="A80" s="71"/>
      <x:c r="B80" s="72"/>
      <x:c r="C80" s="72"/>
      <x:c r="D80" s="72"/>
      <x:c r="E80" s="72"/>
      <x:c r="F80" s="71"/>
      <x:c r="G80" s="73"/>
      <x:c r="H80" s="73"/>
      <x:c r="I80" s="73"/>
      <x:c r="J80" s="73"/>
      <x:c r="K80" s="73"/>
      <x:c r="L80" s="75" t="n">
        <x:f>IF(K80="",0,IF(K80&lt;=F80,J80,0))</x:f>
        <x:v>0</x:v>
      </x:c>
      <x:c r="M80" s="75" t="n">
        <x:f>G80-H80-I80+L80</x:f>
        <x:v>0</x:v>
      </x:c>
      <x:c r="N80" s="68"/>
    </x:row>
    <x:row r="81">
      <x:c r="A81" s="71"/>
      <x:c r="B81" s="72"/>
      <x:c r="C81" s="72"/>
      <x:c r="D81" s="72"/>
      <x:c r="E81" s="72"/>
      <x:c r="F81" s="71"/>
      <x:c r="G81" s="73"/>
      <x:c r="H81" s="73"/>
      <x:c r="I81" s="73"/>
      <x:c r="J81" s="73"/>
      <x:c r="K81" s="73"/>
      <x:c r="L81" s="75" t="n">
        <x:f>IF(K81="",0,IF(K81&lt;=F81,J81,0))</x:f>
        <x:v>0</x:v>
      </x:c>
      <x:c r="M81" s="75" t="n">
        <x:f>G81-H81-I81+L81</x:f>
        <x:v>0</x:v>
      </x:c>
      <x:c r="N81" s="68"/>
    </x:row>
    <x:row r="82">
      <x:c r="A82" s="71"/>
      <x:c r="B82" s="72"/>
      <x:c r="C82" s="72"/>
      <x:c r="D82" s="72"/>
      <x:c r="E82" s="72"/>
      <x:c r="F82" s="71"/>
      <x:c r="G82" s="73"/>
      <x:c r="H82" s="73"/>
      <x:c r="I82" s="73"/>
      <x:c r="J82" s="73"/>
      <x:c r="K82" s="73"/>
      <x:c r="L82" s="75" t="n">
        <x:f>IF(K82="",0,IF(K82&lt;=F82,J82,0))</x:f>
        <x:v>0</x:v>
      </x:c>
      <x:c r="M82" s="75" t="n">
        <x:f>G82-H82-I82+L82</x:f>
        <x:v>0</x:v>
      </x:c>
      <x:c r="N82" s="68"/>
    </x:row>
    <x:row r="83">
      <x:c r="A83" s="71"/>
      <x:c r="B83" s="72"/>
      <x:c r="C83" s="72"/>
      <x:c r="D83" s="72"/>
      <x:c r="E83" s="72"/>
      <x:c r="F83" s="71"/>
      <x:c r="G83" s="73"/>
      <x:c r="H83" s="73"/>
      <x:c r="I83" s="73"/>
      <x:c r="J83" s="73"/>
      <x:c r="K83" s="73"/>
      <x:c r="L83" s="75" t="n">
        <x:f>IF(K83="",0,IF(K83&lt;=F83,J83,0))</x:f>
        <x:v>0</x:v>
      </x:c>
      <x:c r="M83" s="75" t="n">
        <x:f>G83-H83-I83+L83</x:f>
        <x:v>0</x:v>
      </x:c>
      <x:c r="N83" s="68"/>
    </x:row>
    <x:row r="84">
      <x:c r="A84" s="71"/>
      <x:c r="B84" s="72"/>
      <x:c r="C84" s="72"/>
      <x:c r="D84" s="72"/>
      <x:c r="E84" s="72"/>
      <x:c r="F84" s="71"/>
      <x:c r="G84" s="73"/>
      <x:c r="H84" s="73"/>
      <x:c r="I84" s="73"/>
      <x:c r="J84" s="73"/>
      <x:c r="K84" s="73"/>
      <x:c r="L84" s="75" t="n">
        <x:f>IF(K84="",0,IF(K84&lt;=F84,J84,0))</x:f>
        <x:v>0</x:v>
      </x:c>
      <x:c r="M84" s="75" t="n">
        <x:f>G84-H84-I84+L84</x:f>
        <x:v>0</x:v>
      </x:c>
      <x:c r="N84" s="68"/>
    </x:row>
    <x:row r="85">
      <x:c r="A85" s="71"/>
      <x:c r="B85" s="72"/>
      <x:c r="C85" s="72"/>
      <x:c r="D85" s="72"/>
      <x:c r="E85" s="72"/>
      <x:c r="F85" s="71"/>
      <x:c r="G85" s="73"/>
      <x:c r="H85" s="73"/>
      <x:c r="I85" s="73"/>
      <x:c r="J85" s="73"/>
      <x:c r="K85" s="73"/>
      <x:c r="L85" s="75" t="n">
        <x:f>IF(K85="",0,IF(K85&lt;=F85,J85,0))</x:f>
        <x:v>0</x:v>
      </x:c>
      <x:c r="M85" s="75" t="n">
        <x:f>G85-H85-I85+L85</x:f>
        <x:v>0</x:v>
      </x:c>
      <x:c r="N85" s="68"/>
    </x:row>
    <x:row r="86">
      <x:c r="A86" s="71"/>
      <x:c r="B86" s="72"/>
      <x:c r="C86" s="72"/>
      <x:c r="D86" s="72"/>
      <x:c r="E86" s="72"/>
      <x:c r="F86" s="71"/>
      <x:c r="G86" s="73"/>
      <x:c r="H86" s="73"/>
      <x:c r="I86" s="73"/>
      <x:c r="J86" s="73"/>
      <x:c r="K86" s="73"/>
      <x:c r="L86" s="75" t="n">
        <x:f>IF(K86="",0,IF(K86&lt;=F86,J86,0))</x:f>
        <x:v>0</x:v>
      </x:c>
      <x:c r="M86" s="75" t="n">
        <x:f>G86-H86-I86+L86</x:f>
        <x:v>0</x:v>
      </x:c>
      <x:c r="N86" s="68"/>
    </x:row>
    <x:row r="87">
      <x:c r="A87" s="71"/>
      <x:c r="B87" s="72"/>
      <x:c r="C87" s="72"/>
      <x:c r="D87" s="72"/>
      <x:c r="E87" s="72"/>
      <x:c r="F87" s="71"/>
      <x:c r="G87" s="73"/>
      <x:c r="H87" s="73"/>
      <x:c r="I87" s="73"/>
      <x:c r="J87" s="73"/>
      <x:c r="K87" s="73"/>
      <x:c r="L87" s="75" t="n">
        <x:f>IF(K87="",0,IF(K87&lt;=F87,J87,0))</x:f>
        <x:v>0</x:v>
      </x:c>
      <x:c r="M87" s="75" t="n">
        <x:f>G87-H87-I87+L87</x:f>
        <x:v>0</x:v>
      </x:c>
      <x:c r="N87" s="68"/>
    </x:row>
    <x:row r="88">
      <x:c r="A88" s="71"/>
      <x:c r="B88" s="72"/>
      <x:c r="C88" s="72"/>
      <x:c r="D88" s="72"/>
      <x:c r="E88" s="72"/>
      <x:c r="F88" s="71"/>
      <x:c r="G88" s="73"/>
      <x:c r="H88" s="73"/>
      <x:c r="I88" s="73"/>
      <x:c r="J88" s="73"/>
      <x:c r="K88" s="73"/>
      <x:c r="L88" s="75" t="n">
        <x:f>IF(K88="",0,IF(K88&lt;=F88,J88,0))</x:f>
        <x:v>0</x:v>
      </x:c>
      <x:c r="M88" s="75" t="n">
        <x:f>G88-H88-I88+L88</x:f>
        <x:v>0</x:v>
      </x:c>
      <x:c r="N88" s="68"/>
    </x:row>
    <x:row r="89">
      <x:c r="A89" s="71"/>
      <x:c r="B89" s="72"/>
      <x:c r="C89" s="72"/>
      <x:c r="D89" s="72"/>
      <x:c r="E89" s="72"/>
      <x:c r="F89" s="71"/>
      <x:c r="G89" s="73"/>
      <x:c r="H89" s="73"/>
      <x:c r="I89" s="73"/>
      <x:c r="J89" s="73"/>
      <x:c r="K89" s="73"/>
      <x:c r="L89" s="75" t="n">
        <x:f>IF(K89="",0,IF(K89&lt;=F89,J89,0))</x:f>
        <x:v>0</x:v>
      </x:c>
      <x:c r="M89" s="75" t="n">
        <x:f>G89-H89-I89+L89</x:f>
        <x:v>0</x:v>
      </x:c>
      <x:c r="N89" s="68"/>
    </x:row>
    <x:row r="90">
      <x:c r="A90" s="71"/>
      <x:c r="B90" s="72"/>
      <x:c r="C90" s="72"/>
      <x:c r="D90" s="72"/>
      <x:c r="E90" s="72"/>
      <x:c r="F90" s="71"/>
      <x:c r="G90" s="73"/>
      <x:c r="H90" s="73"/>
      <x:c r="I90" s="73"/>
      <x:c r="J90" s="73"/>
      <x:c r="K90" s="73"/>
      <x:c r="L90" s="75" t="n">
        <x:f>IF(K90="",0,IF(K90&lt;=F90,J90,0))</x:f>
        <x:v>0</x:v>
      </x:c>
      <x:c r="M90" s="75" t="n">
        <x:f>G90-H90-I90+L90</x:f>
        <x:v>0</x:v>
      </x:c>
      <x:c r="N90" s="68"/>
    </x:row>
    <x:row r="91">
      <x:c r="A91" s="71"/>
      <x:c r="B91" s="72"/>
      <x:c r="C91" s="72"/>
      <x:c r="D91" s="72"/>
      <x:c r="E91" s="72"/>
      <x:c r="F91" s="71"/>
      <x:c r="G91" s="73"/>
      <x:c r="H91" s="73"/>
      <x:c r="I91" s="73"/>
      <x:c r="J91" s="73"/>
      <x:c r="K91" s="73"/>
      <x:c r="L91" s="75" t="n">
        <x:f>IF(K91="",0,IF(K91&lt;=F91,J91,0))</x:f>
        <x:v>0</x:v>
      </x:c>
      <x:c r="M91" s="75" t="n">
        <x:f>G91-H91-I91+L91</x:f>
        <x:v>0</x:v>
      </x:c>
      <x:c r="N91" s="68"/>
    </x:row>
    <x:row r="92">
      <x:c r="A92" s="71"/>
      <x:c r="B92" s="72"/>
      <x:c r="C92" s="72"/>
      <x:c r="D92" s="72"/>
      <x:c r="E92" s="72"/>
      <x:c r="F92" s="71"/>
      <x:c r="G92" s="73"/>
      <x:c r="H92" s="73"/>
      <x:c r="I92" s="73"/>
      <x:c r="J92" s="73"/>
      <x:c r="K92" s="73"/>
      <x:c r="L92" s="75" t="n">
        <x:f>IF(K92="",0,IF(K92&lt;=F92,J92,0))</x:f>
        <x:v>0</x:v>
      </x:c>
      <x:c r="M92" s="75" t="n">
        <x:f>G92-H92-I92+L92</x:f>
        <x:v>0</x:v>
      </x:c>
      <x:c r="N92" s="68"/>
    </x:row>
    <x:row r="93">
      <x:c r="A93" s="71"/>
      <x:c r="B93" s="72"/>
      <x:c r="C93" s="72"/>
      <x:c r="D93" s="72"/>
      <x:c r="E93" s="72"/>
      <x:c r="F93" s="71"/>
      <x:c r="G93" s="73"/>
      <x:c r="H93" s="73"/>
      <x:c r="I93" s="73"/>
      <x:c r="J93" s="73"/>
      <x:c r="K93" s="73"/>
      <x:c r="L93" s="75" t="n">
        <x:f>IF(K93="",0,IF(K93&lt;=F93,J93,0))</x:f>
        <x:v>0</x:v>
      </x:c>
      <x:c r="M93" s="75" t="n">
        <x:f>G93-H93-I93+L93</x:f>
        <x:v>0</x:v>
      </x:c>
      <x:c r="N93" s="68"/>
    </x:row>
    <x:row r="94">
      <x:c r="A94" s="71"/>
      <x:c r="B94" s="72"/>
      <x:c r="C94" s="72"/>
      <x:c r="D94" s="72"/>
      <x:c r="E94" s="72"/>
      <x:c r="F94" s="71"/>
      <x:c r="G94" s="73"/>
      <x:c r="H94" s="73"/>
      <x:c r="I94" s="73"/>
      <x:c r="J94" s="73"/>
      <x:c r="K94" s="73"/>
      <x:c r="L94" s="75" t="n">
        <x:f>IF(K94="",0,IF(K94&lt;=F94,J94,0))</x:f>
        <x:v>0</x:v>
      </x:c>
      <x:c r="M94" s="75" t="n">
        <x:f>G94-H94-I94+L94</x:f>
        <x:v>0</x:v>
      </x:c>
      <x:c r="N94" s="68"/>
    </x:row>
    <x:row r="95">
      <x:c r="A95" s="71"/>
      <x:c r="B95" s="72"/>
      <x:c r="C95" s="72"/>
      <x:c r="D95" s="72"/>
      <x:c r="E95" s="72"/>
      <x:c r="F95" s="71"/>
      <x:c r="G95" s="73"/>
      <x:c r="H95" s="73"/>
      <x:c r="I95" s="73"/>
      <x:c r="J95" s="73"/>
      <x:c r="K95" s="73"/>
      <x:c r="L95" s="75" t="n">
        <x:f>IF(K95="",0,IF(K95&lt;=F95,J95,0))</x:f>
        <x:v>0</x:v>
      </x:c>
      <x:c r="M95" s="75" t="n">
        <x:f>G95-H95-I95+L95</x:f>
        <x:v>0</x:v>
      </x:c>
      <x:c r="N95" s="68"/>
    </x:row>
    <x:row r="96">
      <x:c r="A96" s="71"/>
      <x:c r="B96" s="72"/>
      <x:c r="C96" s="72"/>
      <x:c r="D96" s="72"/>
      <x:c r="E96" s="72"/>
      <x:c r="F96" s="71"/>
      <x:c r="G96" s="73"/>
      <x:c r="H96" s="73"/>
      <x:c r="I96" s="73"/>
      <x:c r="J96" s="73"/>
      <x:c r="K96" s="73"/>
      <x:c r="L96" s="75" t="n">
        <x:f>IF(K96="",0,IF(K96&lt;=F96,J96,0))</x:f>
        <x:v>0</x:v>
      </x:c>
      <x:c r="M96" s="75" t="n">
        <x:f>G96-H96-I96+L96</x:f>
        <x:v>0</x:v>
      </x:c>
      <x:c r="N96" s="68"/>
    </x:row>
    <x:row r="97">
      <x:c r="A97" s="71"/>
      <x:c r="B97" s="72"/>
      <x:c r="C97" s="72"/>
      <x:c r="D97" s="72"/>
      <x:c r="E97" s="72"/>
      <x:c r="F97" s="71"/>
      <x:c r="G97" s="73"/>
      <x:c r="H97" s="73"/>
      <x:c r="I97" s="73"/>
      <x:c r="J97" s="73"/>
      <x:c r="K97" s="73"/>
      <x:c r="L97" s="75" t="n">
        <x:f>IF(K97="",0,IF(K97&lt;=F97,J97,0))</x:f>
        <x:v>0</x:v>
      </x:c>
      <x:c r="M97" s="75" t="n">
        <x:f>G97-H97-I97+L97</x:f>
        <x:v>0</x:v>
      </x:c>
      <x:c r="N97" s="68"/>
    </x:row>
    <x:row r="98">
      <x:c r="A98" s="71"/>
      <x:c r="B98" s="72"/>
      <x:c r="C98" s="72"/>
      <x:c r="D98" s="72"/>
      <x:c r="E98" s="72"/>
      <x:c r="F98" s="71"/>
      <x:c r="G98" s="73"/>
      <x:c r="H98" s="73"/>
      <x:c r="I98" s="73"/>
      <x:c r="J98" s="73"/>
      <x:c r="K98" s="73"/>
      <x:c r="L98" s="75" t="n">
        <x:f>IF(K98="",0,IF(K98&lt;=F98,J98,0))</x:f>
        <x:v>0</x:v>
      </x:c>
      <x:c r="M98" s="75" t="n">
        <x:f>G98-H98-I98+L98</x:f>
        <x:v>0</x:v>
      </x:c>
      <x:c r="N98" s="68"/>
    </x:row>
    <x:row r="99">
      <x:c r="A99" s="71"/>
      <x:c r="B99" s="72"/>
      <x:c r="C99" s="72"/>
      <x:c r="D99" s="72"/>
      <x:c r="E99" s="72"/>
      <x:c r="F99" s="71"/>
      <x:c r="G99" s="73"/>
      <x:c r="H99" s="73"/>
      <x:c r="I99" s="73"/>
      <x:c r="J99" s="73"/>
      <x:c r="K99" s="73"/>
      <x:c r="L99" s="75" t="n">
        <x:f>IF(K99="",0,IF(K99&lt;=F99,J99,0))</x:f>
        <x:v>0</x:v>
      </x:c>
      <x:c r="M99" s="75" t="n">
        <x:f>G99-H99-I99+L99</x:f>
        <x:v>0</x:v>
      </x:c>
      <x:c r="N99" s="68"/>
    </x:row>
    <x:row r="100">
      <x:c r="A100" s="71"/>
      <x:c r="B100" s="72"/>
      <x:c r="C100" s="72"/>
      <x:c r="D100" s="72"/>
      <x:c r="E100" s="72"/>
      <x:c r="F100" s="71"/>
      <x:c r="G100" s="73"/>
      <x:c r="H100" s="73"/>
      <x:c r="I100" s="73"/>
      <x:c r="J100" s="73"/>
      <x:c r="K100" s="73"/>
      <x:c r="L100" s="75" t="n">
        <x:f>IF(K100="",0,IF(K100&lt;=F100,J100,0))</x:f>
        <x:v>0</x:v>
      </x:c>
      <x:c r="M100" s="75" t="n">
        <x:f>G100-H100-I100+L100</x:f>
        <x:v>0</x:v>
      </x:c>
      <x:c r="N100" s="68"/>
    </x:row>
    <x:row r="101">
      <x:c r="A101" s="71"/>
      <x:c r="B101" s="72"/>
      <x:c r="C101" s="72"/>
      <x:c r="D101" s="72"/>
      <x:c r="E101" s="72"/>
      <x:c r="F101" s="71"/>
      <x:c r="G101" s="73"/>
      <x:c r="H101" s="73"/>
      <x:c r="I101" s="73"/>
      <x:c r="J101" s="73"/>
      <x:c r="K101" s="73"/>
      <x:c r="L101" s="75" t="n">
        <x:f>IF(K101="",0,IF(K101&lt;=F101,J101,0))</x:f>
        <x:v>0</x:v>
      </x:c>
      <x:c r="M101" s="75" t="n">
        <x:f>G101-H101-I101+L101</x:f>
        <x:v>0</x:v>
      </x:c>
      <x:c r="N101" s="68"/>
    </x:row>
    <x:row r="102">
      <x:c r="A102" s="71"/>
      <x:c r="B102" s="72"/>
      <x:c r="C102" s="72"/>
      <x:c r="D102" s="72"/>
      <x:c r="E102" s="72"/>
      <x:c r="F102" s="71"/>
      <x:c r="G102" s="73"/>
      <x:c r="H102" s="73"/>
      <x:c r="I102" s="73"/>
      <x:c r="J102" s="73"/>
      <x:c r="K102" s="73"/>
      <x:c r="L102" s="75" t="n">
        <x:f>IF(K102="",0,IF(K102&lt;=F102,J102,0))</x:f>
        <x:v>0</x:v>
      </x:c>
      <x:c r="M102" s="75" t="n">
        <x:f>G102-H102-I102+L102</x:f>
        <x:v>0</x:v>
      </x:c>
      <x:c r="N102" s="68"/>
    </x:row>
    <x:row r="103">
      <x:c r="A103" s="71"/>
      <x:c r="B103" s="72"/>
      <x:c r="C103" s="72"/>
      <x:c r="D103" s="72"/>
      <x:c r="E103" s="72"/>
      <x:c r="F103" s="71"/>
      <x:c r="G103" s="73"/>
      <x:c r="H103" s="73"/>
      <x:c r="I103" s="73"/>
      <x:c r="J103" s="73"/>
      <x:c r="K103" s="73"/>
      <x:c r="L103" s="75" t="n">
        <x:f>IF(K103="",0,IF(K103&lt;=F103,J103,0))</x:f>
        <x:v>0</x:v>
      </x:c>
      <x:c r="M103" s="75" t="n">
        <x:f>G103-H103-I103+L103</x:f>
        <x:v>0</x:v>
      </x:c>
      <x:c r="N103" s="68"/>
    </x:row>
    <x:row r="104">
      <x:c r="A104" s="71"/>
      <x:c r="B104" s="72"/>
      <x:c r="C104" s="72"/>
      <x:c r="D104" s="72"/>
      <x:c r="E104" s="72"/>
      <x:c r="F104" s="71"/>
      <x:c r="G104" s="73"/>
      <x:c r="H104" s="73"/>
      <x:c r="I104" s="73"/>
      <x:c r="J104" s="73"/>
      <x:c r="K104" s="73"/>
      <x:c r="L104" s="75" t="n">
        <x:f>IF(K104="",0,IF(K104&lt;=F104,J104,0))</x:f>
        <x:v>0</x:v>
      </x:c>
      <x:c r="M104" s="75" t="n">
        <x:f>G104-H104-I104+L104</x:f>
        <x:v>0</x:v>
      </x:c>
      <x:c r="N104" s="68"/>
    </x:row>
    <x:row r="105">
      <x:c r="A105" s="71"/>
      <x:c r="B105" s="72"/>
      <x:c r="C105" s="72"/>
      <x:c r="D105" s="72"/>
      <x:c r="E105" s="72"/>
      <x:c r="F105" s="71"/>
      <x:c r="G105" s="73"/>
      <x:c r="H105" s="73"/>
      <x:c r="I105" s="73"/>
      <x:c r="J105" s="73"/>
      <x:c r="K105" s="73"/>
      <x:c r="L105" s="75" t="n">
        <x:f>IF(K105="",0,IF(K105&lt;=F105,J105,0))</x:f>
        <x:v>0</x:v>
      </x:c>
      <x:c r="M105" s="75" t="n">
        <x:f>G105-H105-I105+L105</x:f>
        <x:v>0</x:v>
      </x:c>
      <x:c r="N105" s="68"/>
    </x:row>
    <x:row r="106">
      <x:c r="A106" s="71"/>
      <x:c r="B106" s="72"/>
      <x:c r="C106" s="72"/>
      <x:c r="D106" s="72"/>
      <x:c r="E106" s="72"/>
      <x:c r="F106" s="71"/>
      <x:c r="G106" s="73"/>
      <x:c r="H106" s="73"/>
      <x:c r="I106" s="73"/>
      <x:c r="J106" s="73"/>
      <x:c r="K106" s="73"/>
      <x:c r="L106" s="75" t="n">
        <x:f>IF(K106="",0,IF(K106&lt;=F106,J106,0))</x:f>
        <x:v>0</x:v>
      </x:c>
      <x:c r="M106" s="75" t="n">
        <x:f>G106-H106-I106+L106</x:f>
        <x:v>0</x:v>
      </x:c>
      <x:c r="N106" s="68"/>
    </x:row>
    <x:row r="107">
      <x:c r="A107" s="71"/>
      <x:c r="B107" s="72"/>
      <x:c r="C107" s="72"/>
      <x:c r="D107" s="72"/>
      <x:c r="E107" s="72"/>
      <x:c r="F107" s="71"/>
      <x:c r="G107" s="73"/>
      <x:c r="H107" s="73"/>
      <x:c r="I107" s="73"/>
      <x:c r="J107" s="73"/>
      <x:c r="K107" s="73"/>
      <x:c r="L107" s="75" t="n">
        <x:f>IF(K107="",0,IF(K107&lt;=F107,J107,0))</x:f>
        <x:v>0</x:v>
      </x:c>
      <x:c r="M107" s="75" t="n">
        <x:f>G107-H107-I107+L107</x:f>
        <x:v>0</x:v>
      </x:c>
      <x:c r="N107" s="68"/>
    </x:row>
    <x:row r="108">
      <x:c r="A108" s="71"/>
      <x:c r="B108" s="72"/>
      <x:c r="C108" s="72"/>
      <x:c r="D108" s="72"/>
      <x:c r="E108" s="72"/>
      <x:c r="F108" s="71"/>
      <x:c r="G108" s="73"/>
      <x:c r="H108" s="73"/>
      <x:c r="I108" s="73"/>
      <x:c r="J108" s="73"/>
      <x:c r="K108" s="73"/>
      <x:c r="L108" s="75" t="n">
        <x:f>IF(K108="",0,IF(K108&lt;=F108,J108,0))</x:f>
        <x:v>0</x:v>
      </x:c>
      <x:c r="M108" s="75" t="n">
        <x:f>G108-H108-I108+L108</x:f>
        <x:v>0</x:v>
      </x:c>
      <x:c r="N108" s="68"/>
    </x:row>
    <x:row r="109">
      <x:c r="A109" s="71"/>
      <x:c r="B109" s="72"/>
      <x:c r="C109" s="72"/>
      <x:c r="D109" s="72"/>
      <x:c r="E109" s="72"/>
      <x:c r="F109" s="71"/>
      <x:c r="G109" s="73"/>
      <x:c r="H109" s="73"/>
      <x:c r="I109" s="73"/>
      <x:c r="J109" s="73"/>
      <x:c r="K109" s="73"/>
      <x:c r="L109" s="75" t="n">
        <x:f>IF(K109="",0,IF(K109&lt;=F109,J109,0))</x:f>
        <x:v>0</x:v>
      </x:c>
      <x:c r="M109" s="75" t="n">
        <x:f>G109-H109-I109+L109</x:f>
        <x:v>0</x:v>
      </x:c>
      <x:c r="N109" s="68"/>
    </x:row>
    <x:row r="110">
      <x:c r="A110" s="71"/>
      <x:c r="B110" s="72"/>
      <x:c r="C110" s="72"/>
      <x:c r="D110" s="72"/>
      <x:c r="E110" s="72"/>
      <x:c r="F110" s="71"/>
      <x:c r="G110" s="73"/>
      <x:c r="H110" s="73"/>
      <x:c r="I110" s="73"/>
      <x:c r="J110" s="73"/>
      <x:c r="K110" s="73"/>
      <x:c r="L110" s="75" t="n">
        <x:f>IF(K110="",0,IF(K110&lt;=F110,J110,0))</x:f>
        <x:v>0</x:v>
      </x:c>
      <x:c r="M110" s="75" t="n">
        <x:f>G110-H110-I110+L110</x:f>
        <x:v>0</x:v>
      </x:c>
      <x:c r="N110" s="68"/>
    </x:row>
    <x:row r="111">
      <x:c r="A111" s="71"/>
      <x:c r="B111" s="72"/>
      <x:c r="C111" s="72"/>
      <x:c r="D111" s="72"/>
      <x:c r="E111" s="72"/>
      <x:c r="F111" s="71"/>
      <x:c r="G111" s="73"/>
      <x:c r="H111" s="73"/>
      <x:c r="I111" s="73"/>
      <x:c r="J111" s="73"/>
      <x:c r="K111" s="73"/>
      <x:c r="L111" s="75" t="n">
        <x:f>IF(K111="",0,IF(K111&lt;=F111,J111,0))</x:f>
        <x:v>0</x:v>
      </x:c>
      <x:c r="M111" s="75" t="n">
        <x:f>G111-H111-I111+L111</x:f>
        <x:v>0</x:v>
      </x:c>
      <x:c r="N111" s="68"/>
    </x:row>
    <x:row r="112">
      <x:c r="A112" s="71"/>
      <x:c r="B112" s="72"/>
      <x:c r="C112" s="72"/>
      <x:c r="D112" s="72"/>
      <x:c r="E112" s="72"/>
      <x:c r="F112" s="71"/>
      <x:c r="G112" s="73"/>
      <x:c r="H112" s="73"/>
      <x:c r="I112" s="73"/>
      <x:c r="J112" s="73"/>
      <x:c r="K112" s="73"/>
      <x:c r="L112" s="75" t="n">
        <x:f>IF(K112="",0,IF(K112&lt;=F112,J112,0))</x:f>
        <x:v>0</x:v>
      </x:c>
      <x:c r="M112" s="75" t="n">
        <x:f>G112-H112-I112+L112</x:f>
        <x:v>0</x:v>
      </x:c>
      <x:c r="N112" s="68"/>
    </x:row>
    <x:row r="113">
      <x:c r="A113" s="71"/>
      <x:c r="B113" s="72"/>
      <x:c r="C113" s="72"/>
      <x:c r="D113" s="72"/>
      <x:c r="E113" s="72"/>
      <x:c r="F113" s="71"/>
      <x:c r="G113" s="73"/>
      <x:c r="H113" s="73"/>
      <x:c r="I113" s="73"/>
      <x:c r="J113" s="73"/>
      <x:c r="K113" s="73"/>
      <x:c r="L113" s="75" t="n">
        <x:f>IF(K113="",0,IF(K113&lt;=F113,J113,0))</x:f>
        <x:v>0</x:v>
      </x:c>
      <x:c r="M113" s="75" t="n">
        <x:f>G113-H113-I113+L113</x:f>
        <x:v>0</x:v>
      </x:c>
      <x:c r="N113" s="68"/>
    </x:row>
    <x:row r="114">
      <x:c r="A114" s="71"/>
      <x:c r="B114" s="72"/>
      <x:c r="C114" s="72"/>
      <x:c r="D114" s="72"/>
      <x:c r="E114" s="72"/>
      <x:c r="F114" s="71"/>
      <x:c r="G114" s="73"/>
      <x:c r="H114" s="73"/>
      <x:c r="I114" s="73"/>
      <x:c r="J114" s="73"/>
      <x:c r="K114" s="73"/>
      <x:c r="L114" s="75" t="n">
        <x:f>IF(K114="",0,IF(K114&lt;=F114,J114,0))</x:f>
        <x:v>0</x:v>
      </x:c>
      <x:c r="M114" s="75" t="n">
        <x:f>G114-H114-I114+L114</x:f>
        <x:v>0</x:v>
      </x:c>
      <x:c r="N114" s="68"/>
    </x:row>
    <x:row r="115">
      <x:c r="A115" s="71"/>
      <x:c r="B115" s="72"/>
      <x:c r="C115" s="72"/>
      <x:c r="D115" s="72"/>
      <x:c r="E115" s="72"/>
      <x:c r="F115" s="71"/>
      <x:c r="G115" s="73"/>
      <x:c r="H115" s="73"/>
      <x:c r="I115" s="73"/>
      <x:c r="J115" s="73"/>
      <x:c r="K115" s="73"/>
      <x:c r="L115" s="75" t="n">
        <x:f>IF(K115="",0,IF(K115&lt;=F115,J115,0))</x:f>
        <x:v>0</x:v>
      </x:c>
      <x:c r="M115" s="75" t="n">
        <x:f>G115-H115-I115+L115</x:f>
        <x:v>0</x:v>
      </x:c>
      <x:c r="N115" s="68"/>
    </x:row>
    <x:row r="116">
      <x:c r="A116" s="71"/>
      <x:c r="B116" s="72"/>
      <x:c r="C116" s="72"/>
      <x:c r="D116" s="72"/>
      <x:c r="E116" s="72"/>
      <x:c r="F116" s="71"/>
      <x:c r="G116" s="73"/>
      <x:c r="H116" s="73"/>
      <x:c r="I116" s="73"/>
      <x:c r="J116" s="73"/>
      <x:c r="K116" s="73"/>
      <x:c r="L116" s="75" t="n">
        <x:f>IF(K116="",0,IF(K116&lt;=F116,J116,0))</x:f>
        <x:v>0</x:v>
      </x:c>
      <x:c r="M116" s="75" t="n">
        <x:f>G116-H116-I116+L116</x:f>
        <x:v>0</x:v>
      </x:c>
      <x:c r="N116" s="68"/>
    </x:row>
    <x:row r="117">
      <x:c r="A117" s="71"/>
      <x:c r="B117" s="72"/>
      <x:c r="C117" s="72"/>
      <x:c r="D117" s="72"/>
      <x:c r="E117" s="72"/>
      <x:c r="F117" s="71"/>
      <x:c r="G117" s="73"/>
      <x:c r="H117" s="73"/>
      <x:c r="I117" s="73"/>
      <x:c r="J117" s="73"/>
      <x:c r="K117" s="73"/>
      <x:c r="L117" s="75" t="n">
        <x:f>IF(K117="",0,IF(K117&lt;=F117,J117,0))</x:f>
        <x:v>0</x:v>
      </x:c>
      <x:c r="M117" s="75" t="n">
        <x:f>G117-H117-I117+L117</x:f>
        <x:v>0</x:v>
      </x:c>
      <x:c r="N117" s="68"/>
    </x:row>
    <x:row r="118">
      <x:c r="A118" s="71"/>
      <x:c r="B118" s="72"/>
      <x:c r="C118" s="72"/>
      <x:c r="D118" s="72"/>
      <x:c r="E118" s="72"/>
      <x:c r="F118" s="71"/>
      <x:c r="G118" s="73"/>
      <x:c r="H118" s="73"/>
      <x:c r="I118" s="73"/>
      <x:c r="J118" s="73"/>
      <x:c r="K118" s="73"/>
      <x:c r="L118" s="75" t="n">
        <x:f>IF(K118="",0,IF(K118&lt;=F118,J118,0))</x:f>
        <x:v>0</x:v>
      </x:c>
      <x:c r="M118" s="75" t="n">
        <x:f>G118-H118-I118+L118</x:f>
        <x:v>0</x:v>
      </x:c>
      <x:c r="N118" s="68"/>
    </x:row>
    <x:row r="119">
      <x:c r="A119" s="71"/>
      <x:c r="B119" s="72"/>
      <x:c r="C119" s="72"/>
      <x:c r="D119" s="72"/>
      <x:c r="E119" s="72"/>
      <x:c r="F119" s="71"/>
      <x:c r="G119" s="73"/>
      <x:c r="H119" s="73"/>
      <x:c r="I119" s="73"/>
      <x:c r="J119" s="73"/>
      <x:c r="K119" s="73"/>
      <x:c r="L119" s="75" t="n">
        <x:f>IF(K119="",0,IF(K119&lt;=F119,J119,0))</x:f>
        <x:v>0</x:v>
      </x:c>
      <x:c r="M119" s="75" t="n">
        <x:f>G119-H119-I119+L119</x:f>
        <x:v>0</x:v>
      </x:c>
      <x:c r="N119" s="68"/>
    </x:row>
    <x:row r="120">
      <x:c r="A120" s="71"/>
      <x:c r="B120" s="72"/>
      <x:c r="C120" s="72"/>
      <x:c r="D120" s="72"/>
      <x:c r="E120" s="72"/>
      <x:c r="F120" s="71"/>
      <x:c r="G120" s="73"/>
      <x:c r="H120" s="73"/>
      <x:c r="I120" s="73"/>
      <x:c r="J120" s="73"/>
      <x:c r="K120" s="73"/>
      <x:c r="L120" s="75" t="n">
        <x:f>IF(K120="",0,IF(K120&lt;=F120,J120,0))</x:f>
        <x:v>0</x:v>
      </x:c>
      <x:c r="M120" s="75" t="n">
        <x:f>G120-H120-I120+L120</x:f>
        <x:v>0</x:v>
      </x:c>
      <x:c r="N120" s="68"/>
    </x:row>
    <x:row r="121">
      <x:c r="A121" s="71"/>
      <x:c r="B121" s="72"/>
      <x:c r="C121" s="72"/>
      <x:c r="D121" s="72"/>
      <x:c r="E121" s="72"/>
      <x:c r="F121" s="71"/>
      <x:c r="G121" s="73"/>
      <x:c r="H121" s="73"/>
      <x:c r="I121" s="73"/>
      <x:c r="J121" s="73"/>
      <x:c r="K121" s="73"/>
      <x:c r="L121" s="75" t="n">
        <x:f>IF(K121="",0,IF(K121&lt;=F121,J121,0))</x:f>
        <x:v>0</x:v>
      </x:c>
      <x:c r="M121" s="75" t="n">
        <x:f>G121-H121-I121+L121</x:f>
        <x:v>0</x:v>
      </x:c>
      <x:c r="N121" s="68"/>
    </x:row>
    <x:row r="122">
      <x:c r="A122" s="71"/>
      <x:c r="B122" s="72"/>
      <x:c r="C122" s="72"/>
      <x:c r="D122" s="72"/>
      <x:c r="E122" s="72"/>
      <x:c r="F122" s="71"/>
      <x:c r="G122" s="73"/>
      <x:c r="H122" s="73"/>
      <x:c r="I122" s="73"/>
      <x:c r="J122" s="73"/>
      <x:c r="K122" s="73"/>
      <x:c r="L122" s="75" t="n">
        <x:f>IF(K122="",0,IF(K122&lt;=F122,J122,0))</x:f>
        <x:v>0</x:v>
      </x:c>
      <x:c r="M122" s="75" t="n">
        <x:f>G122-H122-I122+L122</x:f>
        <x:v>0</x:v>
      </x:c>
      <x:c r="N122" s="68"/>
    </x:row>
    <x:row r="123">
      <x:c r="A123" s="71"/>
      <x:c r="B123" s="72"/>
      <x:c r="C123" s="72"/>
      <x:c r="D123" s="72"/>
      <x:c r="E123" s="72"/>
      <x:c r="F123" s="71"/>
      <x:c r="G123" s="73"/>
      <x:c r="H123" s="73"/>
      <x:c r="I123" s="73"/>
      <x:c r="J123" s="73"/>
      <x:c r="K123" s="73"/>
      <x:c r="L123" s="75" t="n">
        <x:f>IF(K123="",0,IF(K123&lt;=F123,J123,0))</x:f>
        <x:v>0</x:v>
      </x:c>
      <x:c r="M123" s="75" t="n">
        <x:f>G123-H123-I123+L123</x:f>
        <x:v>0</x:v>
      </x:c>
      <x:c r="N123" s="68"/>
    </x:row>
    <x:row r="124">
      <x:c r="A124" s="71"/>
      <x:c r="B124" s="72"/>
      <x:c r="C124" s="72"/>
      <x:c r="D124" s="72"/>
      <x:c r="E124" s="72"/>
      <x:c r="F124" s="71"/>
      <x:c r="G124" s="73"/>
      <x:c r="H124" s="73"/>
      <x:c r="I124" s="73"/>
      <x:c r="J124" s="73"/>
      <x:c r="K124" s="73"/>
      <x:c r="L124" s="75" t="n">
        <x:f>IF(K124="",0,IF(K124&lt;=F124,J124,0))</x:f>
        <x:v>0</x:v>
      </x:c>
      <x:c r="M124" s="75" t="n">
        <x:f>G124-H124-I124+L124</x:f>
        <x:v>0</x:v>
      </x:c>
      <x:c r="N124" s="68"/>
    </x:row>
    <x:row r="125">
      <x:c r="A125" s="71"/>
      <x:c r="B125" s="72"/>
      <x:c r="C125" s="72"/>
      <x:c r="D125" s="72"/>
      <x:c r="E125" s="72"/>
      <x:c r="F125" s="71"/>
      <x:c r="G125" s="73"/>
      <x:c r="H125" s="73"/>
      <x:c r="I125" s="73"/>
      <x:c r="J125" s="73"/>
      <x:c r="K125" s="73"/>
      <x:c r="L125" s="75" t="n">
        <x:f>IF(K125="",0,IF(K125&lt;=F125,J125,0))</x:f>
        <x:v>0</x:v>
      </x:c>
      <x:c r="M125" s="75" t="n">
        <x:f>G125-H125-I125+L125</x:f>
        <x:v>0</x:v>
      </x:c>
      <x:c r="N125" s="68"/>
    </x:row>
    <x:row r="126">
      <x:c r="A126" s="71"/>
      <x:c r="B126" s="72"/>
      <x:c r="C126" s="72"/>
      <x:c r="D126" s="72"/>
      <x:c r="E126" s="72"/>
      <x:c r="F126" s="71"/>
      <x:c r="G126" s="73"/>
      <x:c r="H126" s="73"/>
      <x:c r="I126" s="73"/>
      <x:c r="J126" s="73"/>
      <x:c r="K126" s="73"/>
      <x:c r="L126" s="75" t="n">
        <x:f>IF(K126="",0,IF(K126&lt;=F126,J126,0))</x:f>
        <x:v>0</x:v>
      </x:c>
      <x:c r="M126" s="75" t="n">
        <x:f>G126-H126-I126+L126</x:f>
        <x:v>0</x:v>
      </x:c>
      <x:c r="N126" s="68"/>
    </x:row>
    <x:row r="127">
      <x:c r="A127" s="71"/>
      <x:c r="B127" s="72"/>
      <x:c r="C127" s="72"/>
      <x:c r="D127" s="72"/>
      <x:c r="E127" s="72"/>
      <x:c r="F127" s="71"/>
      <x:c r="G127" s="73"/>
      <x:c r="H127" s="73"/>
      <x:c r="I127" s="73"/>
      <x:c r="J127" s="73"/>
      <x:c r="K127" s="73"/>
      <x:c r="L127" s="75" t="n">
        <x:f>IF(K127="",0,IF(K127&lt;=F127,J127,0))</x:f>
        <x:v>0</x:v>
      </x:c>
      <x:c r="M127" s="75" t="n">
        <x:f>G127-H127-I127+L127</x:f>
        <x:v>0</x:v>
      </x:c>
      <x:c r="N127" s="68"/>
    </x:row>
    <x:row r="128">
      <x:c r="A128" s="71"/>
      <x:c r="B128" s="72"/>
      <x:c r="C128" s="72"/>
      <x:c r="D128" s="72"/>
      <x:c r="E128" s="72"/>
      <x:c r="F128" s="71"/>
      <x:c r="G128" s="73"/>
      <x:c r="H128" s="73"/>
      <x:c r="I128" s="73"/>
      <x:c r="J128" s="73"/>
      <x:c r="K128" s="73"/>
      <x:c r="L128" s="75" t="n">
        <x:f>IF(K128="",0,IF(K128&lt;=F128,J128,0))</x:f>
        <x:v>0</x:v>
      </x:c>
      <x:c r="M128" s="75" t="n">
        <x:f>G128-H128-I128+L128</x:f>
        <x:v>0</x:v>
      </x:c>
      <x:c r="N128" s="68"/>
    </x:row>
    <x:row r="129">
      <x:c r="A129" s="71"/>
      <x:c r="B129" s="72"/>
      <x:c r="C129" s="72"/>
      <x:c r="D129" s="72"/>
      <x:c r="E129" s="72"/>
      <x:c r="F129" s="71"/>
      <x:c r="G129" s="73"/>
      <x:c r="H129" s="73"/>
      <x:c r="I129" s="73"/>
      <x:c r="J129" s="73"/>
      <x:c r="K129" s="73"/>
      <x:c r="L129" s="75" t="n">
        <x:f>IF(K129="",0,IF(K129&lt;=F129,J129,0))</x:f>
        <x:v>0</x:v>
      </x:c>
      <x:c r="M129" s="75" t="n">
        <x:f>G129-H129-I129+L129</x:f>
        <x:v>0</x:v>
      </x:c>
      <x:c r="N129" s="68"/>
    </x:row>
    <x:row r="130">
      <x:c r="A130" s="71"/>
      <x:c r="B130" s="72"/>
      <x:c r="C130" s="72"/>
      <x:c r="D130" s="72"/>
      <x:c r="E130" s="72"/>
      <x:c r="F130" s="71"/>
      <x:c r="G130" s="73"/>
      <x:c r="H130" s="73"/>
      <x:c r="I130" s="73"/>
      <x:c r="J130" s="73"/>
      <x:c r="K130" s="73"/>
      <x:c r="L130" s="75" t="n">
        <x:f>IF(K130="",0,IF(K130&lt;=F130,J130,0))</x:f>
        <x:v>0</x:v>
      </x:c>
      <x:c r="M130" s="75" t="n">
        <x:f>G130-H130-I130+L130</x:f>
        <x:v>0</x:v>
      </x:c>
      <x:c r="N130" s="68"/>
    </x:row>
    <x:row r="131">
      <x:c r="A131" s="71"/>
      <x:c r="B131" s="72"/>
      <x:c r="C131" s="72"/>
      <x:c r="D131" s="72"/>
      <x:c r="E131" s="72"/>
      <x:c r="F131" s="71"/>
      <x:c r="G131" s="73"/>
      <x:c r="H131" s="73"/>
      <x:c r="I131" s="73"/>
      <x:c r="J131" s="73"/>
      <x:c r="K131" s="73"/>
      <x:c r="L131" s="75" t="n">
        <x:f>IF(K131="",0,IF(K131&lt;=F131,J131,0))</x:f>
        <x:v>0</x:v>
      </x:c>
      <x:c r="M131" s="75" t="n">
        <x:f>G131-H131-I131+L131</x:f>
        <x:v>0</x:v>
      </x:c>
      <x:c r="N131" s="68"/>
    </x:row>
    <x:row r="132">
      <x:c r="A132" s="71"/>
      <x:c r="B132" s="72"/>
      <x:c r="C132" s="72"/>
      <x:c r="D132" s="72"/>
      <x:c r="E132" s="72"/>
      <x:c r="F132" s="71"/>
      <x:c r="G132" s="73"/>
      <x:c r="H132" s="73"/>
      <x:c r="I132" s="73"/>
      <x:c r="J132" s="73"/>
      <x:c r="K132" s="73"/>
      <x:c r="L132" s="75" t="n">
        <x:f>IF(K132="",0,IF(K132&lt;=F132,J132,0))</x:f>
        <x:v>0</x:v>
      </x:c>
      <x:c r="M132" s="75" t="n">
        <x:f>G132-H132-I132+L132</x:f>
        <x:v>0</x:v>
      </x:c>
      <x:c r="N132" s="68"/>
    </x:row>
    <x:row r="133">
      <x:c r="A133" s="71"/>
      <x:c r="B133" s="72"/>
      <x:c r="C133" s="72"/>
      <x:c r="D133" s="72"/>
      <x:c r="E133" s="72"/>
      <x:c r="F133" s="71"/>
      <x:c r="G133" s="73"/>
      <x:c r="H133" s="73"/>
      <x:c r="I133" s="73"/>
      <x:c r="J133" s="73"/>
      <x:c r="K133" s="73"/>
      <x:c r="L133" s="75" t="n">
        <x:f>IF(K133="",0,IF(K133&lt;=F133,J133,0))</x:f>
        <x:v>0</x:v>
      </x:c>
      <x:c r="M133" s="75" t="n">
        <x:f>G133-H133-I133+L133</x:f>
        <x:v>0</x:v>
      </x:c>
      <x:c r="N133" s="68"/>
    </x:row>
    <x:row r="134">
      <x:c r="A134" s="71"/>
      <x:c r="B134" s="72"/>
      <x:c r="C134" s="72"/>
      <x:c r="D134" s="72"/>
      <x:c r="E134" s="72"/>
      <x:c r="F134" s="71"/>
      <x:c r="G134" s="73"/>
      <x:c r="H134" s="73"/>
      <x:c r="I134" s="73"/>
      <x:c r="J134" s="73"/>
      <x:c r="K134" s="73"/>
      <x:c r="L134" s="75" t="n">
        <x:f>IF(K134="",0,IF(K134&lt;=F134,J134,0))</x:f>
        <x:v>0</x:v>
      </x:c>
      <x:c r="M134" s="75" t="n">
        <x:f>G134-H134-I134+L134</x:f>
        <x:v>0</x:v>
      </x:c>
      <x:c r="N134" s="68"/>
    </x:row>
    <x:row r="135">
      <x:c r="A135" s="71"/>
      <x:c r="B135" s="72"/>
      <x:c r="C135" s="72"/>
      <x:c r="D135" s="72"/>
      <x:c r="E135" s="72"/>
      <x:c r="F135" s="71"/>
      <x:c r="G135" s="73"/>
      <x:c r="H135" s="73"/>
      <x:c r="I135" s="73"/>
      <x:c r="J135" s="73"/>
      <x:c r="K135" s="73"/>
      <x:c r="L135" s="75" t="n">
        <x:f>IF(K135="",0,IF(K135&lt;=F135,J135,0))</x:f>
        <x:v>0</x:v>
      </x:c>
      <x:c r="M135" s="75" t="n">
        <x:f>G135-H135-I135+L135</x:f>
        <x:v>0</x:v>
      </x:c>
      <x:c r="N135" s="68"/>
    </x:row>
    <x:row r="136">
      <x:c r="A136" s="71"/>
      <x:c r="B136" s="72"/>
      <x:c r="C136" s="72"/>
      <x:c r="D136" s="72"/>
      <x:c r="E136" s="72"/>
      <x:c r="F136" s="71"/>
      <x:c r="G136" s="73"/>
      <x:c r="H136" s="73"/>
      <x:c r="I136" s="73"/>
      <x:c r="J136" s="73"/>
      <x:c r="K136" s="73"/>
      <x:c r="L136" s="75" t="n">
        <x:f>IF(K136="",0,IF(K136&lt;=F136,J136,0))</x:f>
        <x:v>0</x:v>
      </x:c>
      <x:c r="M136" s="75" t="n">
        <x:f>G136-H136-I136+L136</x:f>
        <x:v>0</x:v>
      </x:c>
      <x:c r="N136" s="68"/>
    </x:row>
    <x:row r="137">
      <x:c r="A137" s="71"/>
      <x:c r="B137" s="72"/>
      <x:c r="C137" s="72"/>
      <x:c r="D137" s="72"/>
      <x:c r="E137" s="72"/>
      <x:c r="F137" s="71"/>
      <x:c r="G137" s="73"/>
      <x:c r="H137" s="73"/>
      <x:c r="I137" s="73"/>
      <x:c r="J137" s="73"/>
      <x:c r="K137" s="73"/>
      <x:c r="L137" s="75" t="n">
        <x:f>IF(K137="",0,IF(K137&lt;=F137,J137,0))</x:f>
        <x:v>0</x:v>
      </x:c>
      <x:c r="M137" s="75" t="n">
        <x:f>G137-H137-I137+L137</x:f>
        <x:v>0</x:v>
      </x:c>
      <x:c r="N137" s="68"/>
    </x:row>
    <x:row r="138">
      <x:c r="A138" s="71"/>
      <x:c r="B138" s="72"/>
      <x:c r="C138" s="72"/>
      <x:c r="D138" s="72"/>
      <x:c r="E138" s="72"/>
      <x:c r="F138" s="71"/>
      <x:c r="G138" s="73"/>
      <x:c r="H138" s="73"/>
      <x:c r="I138" s="73"/>
      <x:c r="J138" s="73"/>
      <x:c r="K138" s="73"/>
      <x:c r="L138" s="75" t="n">
        <x:f>IF(K138="",0,IF(K138&lt;=F138,J138,0))</x:f>
        <x:v>0</x:v>
      </x:c>
      <x:c r="M138" s="75" t="n">
        <x:f>G138-H138-I138+L138</x:f>
        <x:v>0</x:v>
      </x:c>
      <x:c r="N138" s="68"/>
    </x:row>
    <x:row r="139">
      <x:c r="A139" s="71"/>
      <x:c r="B139" s="72"/>
      <x:c r="C139" s="72"/>
      <x:c r="D139" s="72"/>
      <x:c r="E139" s="72"/>
      <x:c r="F139" s="71"/>
      <x:c r="G139" s="73"/>
      <x:c r="H139" s="73"/>
      <x:c r="I139" s="73"/>
      <x:c r="J139" s="73"/>
      <x:c r="K139" s="73"/>
      <x:c r="L139" s="75" t="n">
        <x:f>IF(K139="",0,IF(K139&lt;=F139,J139,0))</x:f>
        <x:v>0</x:v>
      </x:c>
      <x:c r="M139" s="75" t="n">
        <x:f>G139-H139-I139+L139</x:f>
        <x:v>0</x:v>
      </x:c>
      <x:c r="N139" s="68"/>
    </x:row>
    <x:row r="140">
      <x:c r="A140" s="71"/>
      <x:c r="B140" s="72"/>
      <x:c r="C140" s="72"/>
      <x:c r="D140" s="72"/>
      <x:c r="E140" s="72"/>
      <x:c r="F140" s="71"/>
      <x:c r="G140" s="73"/>
      <x:c r="H140" s="73"/>
      <x:c r="I140" s="73"/>
      <x:c r="J140" s="73"/>
      <x:c r="K140" s="73"/>
      <x:c r="L140" s="75" t="n">
        <x:f>IF(K140="",0,IF(K140&lt;=F140,J140,0))</x:f>
        <x:v>0</x:v>
      </x:c>
      <x:c r="M140" s="75" t="n">
        <x:f>G140-H140-I140+L140</x:f>
        <x:v>0</x:v>
      </x:c>
      <x:c r="N140" s="68"/>
    </x:row>
    <x:row r="141">
      <x:c r="A141" s="71"/>
      <x:c r="B141" s="72"/>
      <x:c r="C141" s="72"/>
      <x:c r="D141" s="72"/>
      <x:c r="E141" s="72"/>
      <x:c r="F141" s="71"/>
      <x:c r="G141" s="73"/>
      <x:c r="H141" s="73"/>
      <x:c r="I141" s="73"/>
      <x:c r="J141" s="73"/>
      <x:c r="K141" s="73"/>
      <x:c r="L141" s="75" t="n">
        <x:f>IF(K141="",0,IF(K141&lt;=F141,J141,0))</x:f>
        <x:v>0</x:v>
      </x:c>
      <x:c r="M141" s="75" t="n">
        <x:f>G141-H141-I141+L141</x:f>
        <x:v>0</x:v>
      </x:c>
      <x:c r="N141" s="68"/>
    </x:row>
    <x:row r="142">
      <x:c r="A142" s="71"/>
      <x:c r="B142" s="72"/>
      <x:c r="C142" s="72"/>
      <x:c r="D142" s="72"/>
      <x:c r="E142" s="72"/>
      <x:c r="F142" s="71"/>
      <x:c r="G142" s="73"/>
      <x:c r="H142" s="73"/>
      <x:c r="I142" s="73"/>
      <x:c r="J142" s="73"/>
      <x:c r="K142" s="73"/>
      <x:c r="L142" s="75" t="n">
        <x:f>IF(K142="",0,IF(K142&lt;=F142,J142,0))</x:f>
        <x:v>0</x:v>
      </x:c>
      <x:c r="M142" s="75" t="n">
        <x:f>G142-H142-I142+L142</x:f>
        <x:v>0</x:v>
      </x:c>
      <x:c r="N142" s="68"/>
    </x:row>
    <x:row r="143">
      <x:c r="A143" s="71"/>
      <x:c r="B143" s="72"/>
      <x:c r="C143" s="72"/>
      <x:c r="D143" s="72"/>
      <x:c r="E143" s="72"/>
      <x:c r="F143" s="71"/>
      <x:c r="G143" s="73"/>
      <x:c r="H143" s="73"/>
      <x:c r="I143" s="73"/>
      <x:c r="J143" s="73"/>
      <x:c r="K143" s="73"/>
      <x:c r="L143" s="75" t="n">
        <x:f>IF(K143="",0,IF(K143&lt;=F143,J143,0))</x:f>
        <x:v>0</x:v>
      </x:c>
      <x:c r="M143" s="75" t="n">
        <x:f>G143-H143-I143+L143</x:f>
        <x:v>0</x:v>
      </x:c>
      <x:c r="N143" s="68"/>
    </x:row>
    <x:row r="144">
      <x:c r="A144" s="71"/>
      <x:c r="B144" s="72"/>
      <x:c r="C144" s="72"/>
      <x:c r="D144" s="72"/>
      <x:c r="E144" s="72"/>
      <x:c r="F144" s="71"/>
      <x:c r="G144" s="73"/>
      <x:c r="H144" s="73"/>
      <x:c r="I144" s="73"/>
      <x:c r="J144" s="73"/>
      <x:c r="K144" s="73"/>
      <x:c r="L144" s="75" t="n">
        <x:f>IF(K144="",0,IF(K144&lt;=F144,J144,0))</x:f>
        <x:v>0</x:v>
      </x:c>
      <x:c r="M144" s="75" t="n">
        <x:f>G144-H144-I144+L144</x:f>
        <x:v>0</x:v>
      </x:c>
      <x:c r="N144" s="68"/>
    </x:row>
    <x:row r="145">
      <x:c r="A145" s="71"/>
      <x:c r="B145" s="72"/>
      <x:c r="C145" s="72"/>
      <x:c r="D145" s="72"/>
      <x:c r="E145" s="72"/>
      <x:c r="F145" s="71"/>
      <x:c r="G145" s="73"/>
      <x:c r="H145" s="73"/>
      <x:c r="I145" s="73"/>
      <x:c r="J145" s="73"/>
      <x:c r="K145" s="73"/>
      <x:c r="L145" s="75" t="n">
        <x:f>IF(K145="",0,IF(K145&lt;=F145,J145,0))</x:f>
        <x:v>0</x:v>
      </x:c>
      <x:c r="M145" s="75" t="n">
        <x:f>G145-H145-I145+L145</x:f>
        <x:v>0</x:v>
      </x:c>
      <x:c r="N145" s="68"/>
    </x:row>
    <x:row r="146">
      <x:c r="A146" s="71"/>
      <x:c r="B146" s="72"/>
      <x:c r="C146" s="72"/>
      <x:c r="D146" s="72"/>
      <x:c r="E146" s="72"/>
      <x:c r="F146" s="71"/>
      <x:c r="G146" s="73"/>
      <x:c r="H146" s="73"/>
      <x:c r="I146" s="73"/>
      <x:c r="J146" s="73"/>
      <x:c r="K146" s="73"/>
      <x:c r="L146" s="75" t="n">
        <x:f>IF(K146="",0,IF(K146&lt;=F146,J146,0))</x:f>
        <x:v>0</x:v>
      </x:c>
      <x:c r="M146" s="75" t="n">
        <x:f>G146-H146-I146+L146</x:f>
        <x:v>0</x:v>
      </x:c>
      <x:c r="N146" s="68"/>
    </x:row>
    <x:row r="147">
      <x:c r="A147" s="71"/>
      <x:c r="B147" s="72"/>
      <x:c r="C147" s="72"/>
      <x:c r="D147" s="72"/>
      <x:c r="E147" s="72"/>
      <x:c r="F147" s="71"/>
      <x:c r="G147" s="73"/>
      <x:c r="H147" s="73"/>
      <x:c r="I147" s="73"/>
      <x:c r="J147" s="73"/>
      <x:c r="K147" s="73"/>
      <x:c r="L147" s="75" t="n">
        <x:f>IF(K147="",0,IF(K147&lt;=F147,J147,0))</x:f>
        <x:v>0</x:v>
      </x:c>
      <x:c r="M147" s="75" t="n">
        <x:f>G147-H147-I147+L147</x:f>
        <x:v>0</x:v>
      </x:c>
      <x:c r="N147" s="68"/>
    </x:row>
    <x:row r="148">
      <x:c r="A148" s="71"/>
      <x:c r="B148" s="72"/>
      <x:c r="C148" s="72"/>
      <x:c r="D148" s="72"/>
      <x:c r="E148" s="72"/>
      <x:c r="F148" s="71"/>
      <x:c r="G148" s="73"/>
      <x:c r="H148" s="73"/>
      <x:c r="I148" s="73"/>
      <x:c r="J148" s="73"/>
      <x:c r="K148" s="73"/>
      <x:c r="L148" s="75" t="n">
        <x:f>IF(K148="",0,IF(K148&lt;=F148,J148,0))</x:f>
        <x:v>0</x:v>
      </x:c>
      <x:c r="M148" s="75" t="n">
        <x:f>G148-H148-I148+L148</x:f>
        <x:v>0</x:v>
      </x:c>
      <x:c r="N148" s="68"/>
    </x:row>
    <x:row r="149">
      <x:c r="A149" s="71"/>
      <x:c r="B149" s="72"/>
      <x:c r="C149" s="72"/>
      <x:c r="D149" s="72"/>
      <x:c r="E149" s="72"/>
      <x:c r="F149" s="71"/>
      <x:c r="G149" s="73"/>
      <x:c r="H149" s="73"/>
      <x:c r="I149" s="73"/>
      <x:c r="J149" s="73"/>
      <x:c r="K149" s="73"/>
      <x:c r="L149" s="75" t="n">
        <x:f>IF(K149="",0,IF(K149&lt;=F149,J149,0))</x:f>
        <x:v>0</x:v>
      </x:c>
      <x:c r="M149" s="75" t="n">
        <x:f>G149-H149-I149+L149</x:f>
        <x:v>0</x:v>
      </x:c>
      <x:c r="N149" s="68"/>
    </x:row>
    <x:row r="150">
      <x:c r="A150" s="71"/>
      <x:c r="B150" s="72"/>
      <x:c r="C150" s="72"/>
      <x:c r="D150" s="72"/>
      <x:c r="E150" s="72"/>
      <x:c r="F150" s="71"/>
      <x:c r="G150" s="73"/>
      <x:c r="H150" s="73"/>
      <x:c r="I150" s="73"/>
      <x:c r="J150" s="73"/>
      <x:c r="K150" s="73"/>
      <x:c r="L150" s="75" t="n">
        <x:f>IF(K150="",0,IF(K150&lt;=F150,J150,0))</x:f>
        <x:v>0</x:v>
      </x:c>
      <x:c r="M150" s="75" t="n">
        <x:f>G150-H150-I150+L150</x:f>
        <x:v>0</x:v>
      </x:c>
      <x:c r="N150" s="68"/>
    </x:row>
    <x:row r="151">
      <x:c r="A151" s="71"/>
      <x:c r="B151" s="72"/>
      <x:c r="C151" s="72"/>
      <x:c r="D151" s="72"/>
      <x:c r="E151" s="72"/>
      <x:c r="F151" s="71"/>
      <x:c r="G151" s="73"/>
      <x:c r="H151" s="73"/>
      <x:c r="I151" s="73"/>
      <x:c r="J151" s="73"/>
      <x:c r="K151" s="73"/>
      <x:c r="L151" s="75" t="n">
        <x:f>IF(K151="",0,IF(K151&lt;=F151,J151,0))</x:f>
        <x:v>0</x:v>
      </x:c>
      <x:c r="M151" s="75" t="n">
        <x:f>G151-H151-I151+L151</x:f>
        <x:v>0</x:v>
      </x:c>
      <x:c r="N151" s="68"/>
    </x:row>
    <x:row r="152">
      <x:c r="A152" s="71"/>
      <x:c r="B152" s="72"/>
      <x:c r="C152" s="72"/>
      <x:c r="D152" s="72"/>
      <x:c r="E152" s="72"/>
      <x:c r="F152" s="71"/>
      <x:c r="G152" s="73"/>
      <x:c r="H152" s="73"/>
      <x:c r="I152" s="73"/>
      <x:c r="J152" s="73"/>
      <x:c r="K152" s="73"/>
      <x:c r="L152" s="75" t="n">
        <x:f>IF(K152="",0,IF(K152&lt;=F152,J152,0))</x:f>
        <x:v>0</x:v>
      </x:c>
      <x:c r="M152" s="75" t="n">
        <x:f>G152-H152-I152+L152</x:f>
        <x:v>0</x:v>
      </x:c>
      <x:c r="N152" s="68"/>
    </x:row>
    <x:row r="153">
      <x:c r="A153" s="71"/>
      <x:c r="B153" s="72"/>
      <x:c r="C153" s="72"/>
      <x:c r="D153" s="72"/>
      <x:c r="E153" s="72"/>
      <x:c r="F153" s="71"/>
      <x:c r="G153" s="73"/>
      <x:c r="H153" s="73"/>
      <x:c r="I153" s="73"/>
      <x:c r="J153" s="73"/>
      <x:c r="K153" s="73"/>
      <x:c r="L153" s="75" t="n">
        <x:f>IF(K153="",0,IF(K153&lt;=F153,J153,0))</x:f>
        <x:v>0</x:v>
      </x:c>
      <x:c r="M153" s="75" t="n">
        <x:f>G153-H153-I153+L153</x:f>
        <x:v>0</x:v>
      </x:c>
      <x:c r="N153" s="68"/>
    </x:row>
    <x:row r="154">
      <x:c r="A154" s="71"/>
      <x:c r="B154" s="72"/>
      <x:c r="C154" s="72"/>
      <x:c r="D154" s="72"/>
      <x:c r="E154" s="72"/>
      <x:c r="F154" s="71"/>
      <x:c r="G154" s="73"/>
      <x:c r="H154" s="73"/>
      <x:c r="I154" s="73"/>
      <x:c r="J154" s="73"/>
      <x:c r="K154" s="73"/>
      <x:c r="L154" s="75" t="n">
        <x:f>IF(K154="",0,IF(K154&lt;=F154,J154,0))</x:f>
        <x:v>0</x:v>
      </x:c>
      <x:c r="M154" s="75" t="n">
        <x:f>G154-H154-I154+L154</x:f>
        <x:v>0</x:v>
      </x:c>
      <x:c r="N154" s="68"/>
    </x:row>
    <x:row r="155">
      <x:c r="A155" s="71"/>
      <x:c r="B155" s="72"/>
      <x:c r="C155" s="72"/>
      <x:c r="D155" s="72"/>
      <x:c r="E155" s="72"/>
      <x:c r="F155" s="71"/>
      <x:c r="G155" s="73"/>
      <x:c r="H155" s="73"/>
      <x:c r="I155" s="73"/>
      <x:c r="J155" s="73"/>
      <x:c r="K155" s="73"/>
      <x:c r="L155" s="75" t="n">
        <x:f>IF(K155="",0,IF(K155&lt;=F155,J155,0))</x:f>
        <x:v>0</x:v>
      </x:c>
      <x:c r="M155" s="75" t="n">
        <x:f>G155-H155-I155+L155</x:f>
        <x:v>0</x:v>
      </x:c>
      <x:c r="N155" s="68"/>
    </x:row>
    <x:row r="156">
      <x:c r="A156" s="71"/>
      <x:c r="B156" s="72"/>
      <x:c r="C156" s="72"/>
      <x:c r="D156" s="72"/>
      <x:c r="E156" s="72"/>
      <x:c r="F156" s="71"/>
      <x:c r="G156" s="73"/>
      <x:c r="H156" s="73"/>
      <x:c r="I156" s="73"/>
      <x:c r="J156" s="73"/>
      <x:c r="K156" s="73"/>
      <x:c r="L156" s="75" t="n">
        <x:f>IF(K156="",0,IF(K156&lt;=F156,J156,0))</x:f>
        <x:v>0</x:v>
      </x:c>
      <x:c r="M156" s="75" t="n">
        <x:f>G156-H156-I156+L156</x:f>
        <x:v>0</x:v>
      </x:c>
      <x:c r="N156" s="68"/>
    </x:row>
    <x:row r="157">
      <x:c r="A157" s="71"/>
      <x:c r="B157" s="72"/>
      <x:c r="C157" s="72"/>
      <x:c r="D157" s="72"/>
      <x:c r="E157" s="72"/>
      <x:c r="F157" s="71"/>
      <x:c r="G157" s="73"/>
      <x:c r="H157" s="73"/>
      <x:c r="I157" s="73"/>
      <x:c r="J157" s="73"/>
      <x:c r="K157" s="73"/>
      <x:c r="L157" s="75" t="n">
        <x:f>IF(K157="",0,IF(K157&lt;=F157,J157,0))</x:f>
        <x:v>0</x:v>
      </x:c>
      <x:c r="M157" s="75" t="n">
        <x:f>G157-H157-I157+L157</x:f>
        <x:v>0</x:v>
      </x:c>
      <x:c r="N157" s="68"/>
    </x:row>
    <x:row r="158">
      <x:c r="A158" s="71"/>
      <x:c r="B158" s="72"/>
      <x:c r="C158" s="72"/>
      <x:c r="D158" s="72"/>
      <x:c r="E158" s="72"/>
      <x:c r="F158" s="71"/>
      <x:c r="G158" s="73"/>
      <x:c r="H158" s="73"/>
      <x:c r="I158" s="73"/>
      <x:c r="J158" s="73"/>
      <x:c r="K158" s="73"/>
      <x:c r="L158" s="75" t="n">
        <x:f>IF(K158="",0,IF(K158&lt;=F158,J158,0))</x:f>
        <x:v>0</x:v>
      </x:c>
      <x:c r="M158" s="75" t="n">
        <x:f>G158-H158-I158+L158</x:f>
        <x:v>0</x:v>
      </x:c>
      <x:c r="N158" s="68"/>
    </x:row>
    <x:row r="159">
      <x:c r="A159" s="71"/>
      <x:c r="B159" s="72"/>
      <x:c r="C159" s="72"/>
      <x:c r="D159" s="72"/>
      <x:c r="E159" s="72"/>
      <x:c r="F159" s="71"/>
      <x:c r="G159" s="73"/>
      <x:c r="H159" s="73"/>
      <x:c r="I159" s="73"/>
      <x:c r="J159" s="73"/>
      <x:c r="K159" s="73"/>
      <x:c r="L159" s="75" t="n">
        <x:f>IF(K159="",0,IF(K159&lt;=F159,J159,0))</x:f>
        <x:v>0</x:v>
      </x:c>
      <x:c r="M159" s="75" t="n">
        <x:f>G159-H159-I159+L159</x:f>
        <x:v>0</x:v>
      </x:c>
      <x:c r="N159" s="68"/>
    </x:row>
    <x:row r="160">
      <x:c r="A160" s="71"/>
      <x:c r="B160" s="72"/>
      <x:c r="C160" s="72"/>
      <x:c r="D160" s="72"/>
      <x:c r="E160" s="72"/>
      <x:c r="F160" s="71"/>
      <x:c r="G160" s="73"/>
      <x:c r="H160" s="73"/>
      <x:c r="I160" s="73"/>
      <x:c r="J160" s="73"/>
      <x:c r="K160" s="73"/>
      <x:c r="L160" s="75" t="n">
        <x:f>IF(K160="",0,IF(K160&lt;=F160,J160,0))</x:f>
        <x:v>0</x:v>
      </x:c>
      <x:c r="M160" s="75" t="n">
        <x:f>G160-H160-I160+L160</x:f>
        <x:v>0</x:v>
      </x:c>
      <x:c r="N160" s="68"/>
    </x:row>
    <x:row r="161">
      <x:c r="A161" s="71"/>
      <x:c r="B161" s="72"/>
      <x:c r="C161" s="72"/>
      <x:c r="D161" s="72"/>
      <x:c r="E161" s="72"/>
      <x:c r="F161" s="71"/>
      <x:c r="G161" s="73"/>
      <x:c r="H161" s="73"/>
      <x:c r="I161" s="73"/>
      <x:c r="J161" s="73"/>
      <x:c r="K161" s="73"/>
      <x:c r="L161" s="75" t="n">
        <x:f>IF(K161="",0,IF(K161&lt;=F161,J161,0))</x:f>
        <x:v>0</x:v>
      </x:c>
      <x:c r="M161" s="75" t="n">
        <x:f>G161-H161-I161+L161</x:f>
        <x:v>0</x:v>
      </x:c>
      <x:c r="N161" s="68"/>
    </x:row>
    <x:row r="162">
      <x:c r="A162" s="71"/>
      <x:c r="B162" s="72"/>
      <x:c r="C162" s="72"/>
      <x:c r="D162" s="72"/>
      <x:c r="E162" s="72"/>
      <x:c r="F162" s="71"/>
      <x:c r="G162" s="73"/>
      <x:c r="H162" s="73"/>
      <x:c r="I162" s="73"/>
      <x:c r="J162" s="73"/>
      <x:c r="K162" s="73"/>
      <x:c r="L162" s="75" t="n">
        <x:f>IF(K162="",0,IF(K162&lt;=F162,J162,0))</x:f>
        <x:v>0</x:v>
      </x:c>
      <x:c r="M162" s="75" t="n">
        <x:f>G162-H162-I162+L162</x:f>
        <x:v>0</x:v>
      </x:c>
      <x:c r="N162" s="68"/>
    </x:row>
    <x:row r="163">
      <x:c r="A163" s="71"/>
      <x:c r="B163" s="72"/>
      <x:c r="C163" s="72"/>
      <x:c r="D163" s="72"/>
      <x:c r="E163" s="72"/>
      <x:c r="F163" s="71"/>
      <x:c r="G163" s="73"/>
      <x:c r="H163" s="73"/>
      <x:c r="I163" s="73"/>
      <x:c r="J163" s="73"/>
      <x:c r="K163" s="73"/>
      <x:c r="L163" s="75" t="n">
        <x:f>IF(K163="",0,IF(K163&lt;=F163,J163,0))</x:f>
        <x:v>0</x:v>
      </x:c>
      <x:c r="M163" s="75" t="n">
        <x:f>G163-H163-I163+L163</x:f>
        <x:v>0</x:v>
      </x:c>
      <x:c r="N163" s="68"/>
    </x:row>
    <x:row r="164">
      <x:c r="A164" s="71"/>
      <x:c r="B164" s="72"/>
      <x:c r="C164" s="72"/>
      <x:c r="D164" s="72"/>
      <x:c r="E164" s="72"/>
      <x:c r="F164" s="71"/>
      <x:c r="G164" s="73"/>
      <x:c r="H164" s="73"/>
      <x:c r="I164" s="73"/>
      <x:c r="J164" s="73"/>
      <x:c r="K164" s="73"/>
      <x:c r="L164" s="75" t="n">
        <x:f>IF(K164="",0,IF(K164&lt;=F164,J164,0))</x:f>
        <x:v>0</x:v>
      </x:c>
      <x:c r="M164" s="75" t="n">
        <x:f>G164-H164-I164+L164</x:f>
        <x:v>0</x:v>
      </x:c>
      <x:c r="N164" s="68"/>
    </x:row>
    <x:row r="165">
      <x:c r="A165" s="71"/>
      <x:c r="B165" s="72"/>
      <x:c r="C165" s="72"/>
      <x:c r="D165" s="72"/>
      <x:c r="E165" s="72"/>
      <x:c r="F165" s="71"/>
      <x:c r="G165" s="73"/>
      <x:c r="H165" s="73"/>
      <x:c r="I165" s="73"/>
      <x:c r="J165" s="73"/>
      <x:c r="K165" s="73"/>
      <x:c r="L165" s="75" t="n">
        <x:f>IF(K165="",0,IF(K165&lt;=F165,J165,0))</x:f>
        <x:v>0</x:v>
      </x:c>
      <x:c r="M165" s="75" t="n">
        <x:f>G165-H165-I165+L165</x:f>
        <x:v>0</x:v>
      </x:c>
      <x:c r="N165" s="68"/>
    </x:row>
    <x:row r="166">
      <x:c r="A166" s="71"/>
      <x:c r="B166" s="72"/>
      <x:c r="C166" s="72"/>
      <x:c r="D166" s="72"/>
      <x:c r="E166" s="72"/>
      <x:c r="F166" s="71"/>
      <x:c r="G166" s="73"/>
      <x:c r="H166" s="73"/>
      <x:c r="I166" s="73"/>
      <x:c r="J166" s="73"/>
      <x:c r="K166" s="73"/>
      <x:c r="L166" s="75" t="n">
        <x:f>IF(K166="",0,IF(K166&lt;=F166,J166,0))</x:f>
        <x:v>0</x:v>
      </x:c>
      <x:c r="M166" s="75" t="n">
        <x:f>G166-H166-I166+L166</x:f>
        <x:v>0</x:v>
      </x:c>
      <x:c r="N166" s="68"/>
    </x:row>
    <x:row r="167">
      <x:c r="A167" s="71"/>
      <x:c r="B167" s="72"/>
      <x:c r="C167" s="72"/>
      <x:c r="D167" s="72"/>
      <x:c r="E167" s="72"/>
      <x:c r="F167" s="71"/>
      <x:c r="G167" s="73"/>
      <x:c r="H167" s="73"/>
      <x:c r="I167" s="73"/>
      <x:c r="J167" s="73"/>
      <x:c r="K167" s="73"/>
      <x:c r="L167" s="75" t="n">
        <x:f>IF(K167="",0,IF(K167&lt;=F167,J167,0))</x:f>
        <x:v>0</x:v>
      </x:c>
      <x:c r="M167" s="75" t="n">
        <x:f>G167-H167-I167+L167</x:f>
        <x:v>0</x:v>
      </x:c>
      <x:c r="N167" s="68"/>
    </x:row>
    <x:row r="168">
      <x:c r="A168" s="71"/>
      <x:c r="B168" s="72"/>
      <x:c r="C168" s="72"/>
      <x:c r="D168" s="72"/>
      <x:c r="E168" s="72"/>
      <x:c r="F168" s="71"/>
      <x:c r="G168" s="73"/>
      <x:c r="H168" s="73"/>
      <x:c r="I168" s="73"/>
      <x:c r="J168" s="73"/>
      <x:c r="K168" s="73"/>
      <x:c r="L168" s="75" t="n">
        <x:f>IF(K168="",0,IF(K168&lt;=F168,J168,0))</x:f>
        <x:v>0</x:v>
      </x:c>
      <x:c r="M168" s="75" t="n">
        <x:f>G168-H168-I168+L168</x:f>
        <x:v>0</x:v>
      </x:c>
      <x:c r="N168" s="68"/>
    </x:row>
    <x:row r="169">
      <x:c r="A169" s="71"/>
      <x:c r="B169" s="72"/>
      <x:c r="C169" s="72"/>
      <x:c r="D169" s="72"/>
      <x:c r="E169" s="72"/>
      <x:c r="F169" s="71"/>
      <x:c r="G169" s="73"/>
      <x:c r="H169" s="73"/>
      <x:c r="I169" s="73"/>
      <x:c r="J169" s="73"/>
      <x:c r="K169" s="73"/>
      <x:c r="L169" s="75" t="n">
        <x:f>IF(K169="",0,IF(K169&lt;=F169,J169,0))</x:f>
        <x:v>0</x:v>
      </x:c>
      <x:c r="M169" s="75" t="n">
        <x:f>G169-H169-I169+L169</x:f>
        <x:v>0</x:v>
      </x:c>
      <x:c r="N169" s="68"/>
    </x:row>
    <x:row r="170">
      <x:c r="A170" s="71"/>
      <x:c r="B170" s="72"/>
      <x:c r="C170" s="72"/>
      <x:c r="D170" s="72"/>
      <x:c r="E170" s="72"/>
      <x:c r="F170" s="71"/>
      <x:c r="G170" s="73"/>
      <x:c r="H170" s="73"/>
      <x:c r="I170" s="73"/>
      <x:c r="J170" s="73"/>
      <x:c r="K170" s="73"/>
      <x:c r="L170" s="75" t="n">
        <x:f>IF(K170="",0,IF(K170&lt;=F170,J170,0))</x:f>
        <x:v>0</x:v>
      </x:c>
      <x:c r="M170" s="75" t="n">
        <x:f>G170-H170-I170+L170</x:f>
        <x:v>0</x:v>
      </x:c>
      <x:c r="N170" s="68"/>
    </x:row>
    <x:row r="171">
      <x:c r="A171" s="71"/>
      <x:c r="B171" s="72"/>
      <x:c r="C171" s="72"/>
      <x:c r="D171" s="72"/>
      <x:c r="E171" s="72"/>
      <x:c r="F171" s="71"/>
      <x:c r="G171" s="73"/>
      <x:c r="H171" s="73"/>
      <x:c r="I171" s="73"/>
      <x:c r="J171" s="73"/>
      <x:c r="K171" s="73"/>
      <x:c r="L171" s="75" t="n">
        <x:f>IF(K171="",0,IF(K171&lt;=F171,J171,0))</x:f>
        <x:v>0</x:v>
      </x:c>
      <x:c r="M171" s="75" t="n">
        <x:f>G171-H171-I171+L171</x:f>
        <x:v>0</x:v>
      </x:c>
      <x:c r="N171" s="68"/>
    </x:row>
    <x:row r="172">
      <x:c r="A172" s="71"/>
      <x:c r="B172" s="72"/>
      <x:c r="C172" s="72"/>
      <x:c r="D172" s="72"/>
      <x:c r="E172" s="72"/>
      <x:c r="F172" s="71"/>
      <x:c r="G172" s="73"/>
      <x:c r="H172" s="73"/>
      <x:c r="I172" s="73"/>
      <x:c r="J172" s="73"/>
      <x:c r="K172" s="73"/>
      <x:c r="L172" s="75" t="n">
        <x:f>IF(K172="",0,IF(K172&lt;=F172,J172,0))</x:f>
        <x:v>0</x:v>
      </x:c>
      <x:c r="M172" s="75" t="n">
        <x:f>G172-H172-I172+L172</x:f>
        <x:v>0</x:v>
      </x:c>
      <x:c r="N172" s="68"/>
    </x:row>
    <x:row r="173">
      <x:c r="A173" s="71"/>
      <x:c r="B173" s="72"/>
      <x:c r="C173" s="72"/>
      <x:c r="D173" s="72"/>
      <x:c r="E173" s="72"/>
      <x:c r="F173" s="71"/>
      <x:c r="G173" s="73"/>
      <x:c r="H173" s="73"/>
      <x:c r="I173" s="73"/>
      <x:c r="J173" s="73"/>
      <x:c r="K173" s="73"/>
      <x:c r="L173" s="75" t="n">
        <x:f>IF(K173="",0,IF(K173&lt;=F173,J173,0))</x:f>
        <x:v>0</x:v>
      </x:c>
      <x:c r="M173" s="75" t="n">
        <x:f>G173-H173-I173+L173</x:f>
        <x:v>0</x:v>
      </x:c>
      <x:c r="N173" s="68"/>
    </x:row>
    <x:row r="174">
      <x:c r="A174" s="71"/>
      <x:c r="B174" s="72"/>
      <x:c r="C174" s="72"/>
      <x:c r="D174" s="72"/>
      <x:c r="E174" s="72"/>
      <x:c r="F174" s="71"/>
      <x:c r="G174" s="73"/>
      <x:c r="H174" s="73"/>
      <x:c r="I174" s="73"/>
      <x:c r="J174" s="73"/>
      <x:c r="K174" s="73"/>
      <x:c r="L174" s="75" t="n">
        <x:f>IF(K174="",0,IF(K174&lt;=F174,J174,0))</x:f>
        <x:v>0</x:v>
      </x:c>
      <x:c r="M174" s="75" t="n">
        <x:f>G174-H174-I174+L174</x:f>
        <x:v>0</x:v>
      </x:c>
      <x:c r="N174" s="68"/>
    </x:row>
    <x:row r="175">
      <x:c r="A175" s="71"/>
      <x:c r="B175" s="72"/>
      <x:c r="C175" s="72"/>
      <x:c r="D175" s="72"/>
      <x:c r="E175" s="72"/>
      <x:c r="F175" s="71"/>
      <x:c r="G175" s="73"/>
      <x:c r="H175" s="73"/>
      <x:c r="I175" s="73"/>
      <x:c r="J175" s="73"/>
      <x:c r="K175" s="73"/>
      <x:c r="L175" s="75" t="n">
        <x:f>IF(K175="",0,IF(K175&lt;=F175,J175,0))</x:f>
        <x:v>0</x:v>
      </x:c>
      <x:c r="M175" s="75" t="n">
        <x:f>G175-H175-I175+L175</x:f>
        <x:v>0</x:v>
      </x:c>
      <x:c r="N175" s="68"/>
    </x:row>
    <x:row r="176">
      <x:c r="A176" s="71"/>
      <x:c r="B176" s="72"/>
      <x:c r="C176" s="72"/>
      <x:c r="D176" s="72"/>
      <x:c r="E176" s="72"/>
      <x:c r="F176" s="71"/>
      <x:c r="G176" s="73"/>
      <x:c r="H176" s="73"/>
      <x:c r="I176" s="73"/>
      <x:c r="J176" s="73"/>
      <x:c r="K176" s="73"/>
      <x:c r="L176" s="75" t="n">
        <x:f>IF(K176="",0,IF(K176&lt;=F176,J176,0))</x:f>
        <x:v>0</x:v>
      </x:c>
      <x:c r="M176" s="75" t="n">
        <x:f>G176-H176-I176+L176</x:f>
        <x:v>0</x:v>
      </x:c>
      <x:c r="N176" s="68"/>
    </x:row>
    <x:row r="177">
      <x:c r="A177" s="71"/>
      <x:c r="B177" s="72"/>
      <x:c r="C177" s="72"/>
      <x:c r="D177" s="72"/>
      <x:c r="E177" s="72"/>
      <x:c r="F177" s="71"/>
      <x:c r="G177" s="73"/>
      <x:c r="H177" s="73"/>
      <x:c r="I177" s="73"/>
      <x:c r="J177" s="73"/>
      <x:c r="K177" s="73"/>
      <x:c r="L177" s="75" t="n">
        <x:f>IF(K177="",0,IF(K177&lt;=F177,J177,0))</x:f>
        <x:v>0</x:v>
      </x:c>
      <x:c r="M177" s="75" t="n">
        <x:f>G177-H177-I177+L177</x:f>
        <x:v>0</x:v>
      </x:c>
      <x:c r="N177" s="68"/>
    </x:row>
    <x:row r="178">
      <x:c r="A178" s="71"/>
      <x:c r="B178" s="72"/>
      <x:c r="C178" s="72"/>
      <x:c r="D178" s="72"/>
      <x:c r="E178" s="72"/>
      <x:c r="F178" s="71"/>
      <x:c r="G178" s="73"/>
      <x:c r="H178" s="73"/>
      <x:c r="I178" s="73"/>
      <x:c r="J178" s="73"/>
      <x:c r="K178" s="73"/>
      <x:c r="L178" s="75" t="n">
        <x:f>IF(K178="",0,IF(K178&lt;=F178,J178,0))</x:f>
        <x:v>0</x:v>
      </x:c>
      <x:c r="M178" s="75" t="n">
        <x:f>G178-H178-I178+L178</x:f>
        <x:v>0</x:v>
      </x:c>
      <x:c r="N178" s="68"/>
    </x:row>
    <x:row r="179">
      <x:c r="A179" s="71"/>
      <x:c r="B179" s="72"/>
      <x:c r="C179" s="72"/>
      <x:c r="D179" s="72"/>
      <x:c r="E179" s="72"/>
      <x:c r="F179" s="71"/>
      <x:c r="G179" s="73"/>
      <x:c r="H179" s="73"/>
      <x:c r="I179" s="73"/>
      <x:c r="J179" s="73"/>
      <x:c r="K179" s="73"/>
      <x:c r="L179" s="75" t="n">
        <x:f>IF(K179="",0,IF(K179&lt;=F179,J179,0))</x:f>
        <x:v>0</x:v>
      </x:c>
      <x:c r="M179" s="75" t="n">
        <x:f>G179-H179-I179+L179</x:f>
        <x:v>0</x:v>
      </x:c>
      <x:c r="N179" s="68"/>
    </x:row>
    <x:row r="180">
      <x:c r="A180" s="71"/>
      <x:c r="B180" s="72"/>
      <x:c r="C180" s="72"/>
      <x:c r="D180" s="72"/>
      <x:c r="E180" s="72"/>
      <x:c r="F180" s="71"/>
      <x:c r="G180" s="73"/>
      <x:c r="H180" s="73"/>
      <x:c r="I180" s="73"/>
      <x:c r="J180" s="73"/>
      <x:c r="K180" s="73"/>
      <x:c r="L180" s="75" t="n">
        <x:f>IF(K180="",0,IF(K180&lt;=F180,J180,0))</x:f>
        <x:v>0</x:v>
      </x:c>
      <x:c r="M180" s="75" t="n">
        <x:f>G180-H180-I180+L180</x:f>
        <x:v>0</x:v>
      </x:c>
      <x:c r="N180" s="68"/>
    </x:row>
    <x:row r="181">
      <x:c r="A181" s="71"/>
      <x:c r="B181" s="72"/>
      <x:c r="C181" s="72"/>
      <x:c r="D181" s="72"/>
      <x:c r="E181" s="72"/>
      <x:c r="F181" s="71"/>
      <x:c r="G181" s="73"/>
      <x:c r="H181" s="73"/>
      <x:c r="I181" s="73"/>
      <x:c r="J181" s="73"/>
      <x:c r="K181" s="73"/>
      <x:c r="L181" s="75" t="n">
        <x:f>IF(K181="",0,IF(K181&lt;=F181,J181,0))</x:f>
        <x:v>0</x:v>
      </x:c>
      <x:c r="M181" s="75" t="n">
        <x:f>G181-H181-I181+L181</x:f>
        <x:v>0</x:v>
      </x:c>
      <x:c r="N181" s="68"/>
    </x:row>
    <x:row r="182">
      <x:c r="A182" s="71"/>
      <x:c r="B182" s="72"/>
      <x:c r="C182" s="72"/>
      <x:c r="D182" s="72"/>
      <x:c r="E182" s="72"/>
      <x:c r="F182" s="71"/>
      <x:c r="G182" s="73"/>
      <x:c r="H182" s="73"/>
      <x:c r="I182" s="73"/>
      <x:c r="J182" s="73"/>
      <x:c r="K182" s="73"/>
      <x:c r="L182" s="75" t="n">
        <x:f>IF(K182="",0,IF(K182&lt;=F182,J182,0))</x:f>
        <x:v>0</x:v>
      </x:c>
      <x:c r="M182" s="75" t="n">
        <x:f>G182-H182-I182+L182</x:f>
        <x:v>0</x:v>
      </x:c>
      <x:c r="N182" s="68"/>
    </x:row>
    <x:row r="183">
      <x:c r="A183" s="71"/>
      <x:c r="B183" s="72"/>
      <x:c r="C183" s="72"/>
      <x:c r="D183" s="72"/>
      <x:c r="E183" s="72"/>
      <x:c r="F183" s="71"/>
      <x:c r="G183" s="73"/>
      <x:c r="H183" s="73"/>
      <x:c r="I183" s="73"/>
      <x:c r="J183" s="73"/>
      <x:c r="K183" s="73"/>
      <x:c r="L183" s="75" t="n">
        <x:f>IF(K183="",0,IF(K183&lt;=F183,J183,0))</x:f>
        <x:v>0</x:v>
      </x:c>
      <x:c r="M183" s="75" t="n">
        <x:f>G183-H183-I183+L183</x:f>
        <x:v>0</x:v>
      </x:c>
      <x:c r="N183" s="68"/>
    </x:row>
    <x:row r="184">
      <x:c r="A184" s="71"/>
      <x:c r="B184" s="72"/>
      <x:c r="C184" s="72"/>
      <x:c r="D184" s="72"/>
      <x:c r="E184" s="72"/>
      <x:c r="F184" s="71"/>
      <x:c r="G184" s="73"/>
      <x:c r="H184" s="73"/>
      <x:c r="I184" s="73"/>
      <x:c r="J184" s="73"/>
      <x:c r="K184" s="73"/>
      <x:c r="L184" s="75" t="n">
        <x:f>IF(K184="",0,IF(K184&lt;=F184,J184,0))</x:f>
        <x:v>0</x:v>
      </x:c>
      <x:c r="M184" s="75" t="n">
        <x:f>G184-H184-I184+L184</x:f>
        <x:v>0</x:v>
      </x:c>
      <x:c r="N184" s="68"/>
    </x:row>
    <x:row r="185">
      <x:c r="A185" s="71"/>
      <x:c r="B185" s="72"/>
      <x:c r="C185" s="72"/>
      <x:c r="D185" s="72"/>
      <x:c r="E185" s="72"/>
      <x:c r="F185" s="71"/>
      <x:c r="G185" s="73"/>
      <x:c r="H185" s="73"/>
      <x:c r="I185" s="73"/>
      <x:c r="J185" s="73"/>
      <x:c r="K185" s="73"/>
      <x:c r="L185" s="75" t="n">
        <x:f>IF(K185="",0,IF(K185&lt;=F185,J185,0))</x:f>
        <x:v>0</x:v>
      </x:c>
      <x:c r="M185" s="75" t="n">
        <x:f>G185-H185-I185+L185</x:f>
        <x:v>0</x:v>
      </x:c>
      <x:c r="N185" s="68"/>
    </x:row>
    <x:row r="186">
      <x:c r="A186" s="71"/>
      <x:c r="B186" s="72"/>
      <x:c r="C186" s="72"/>
      <x:c r="D186" s="72"/>
      <x:c r="E186" s="72"/>
      <x:c r="F186" s="71"/>
      <x:c r="G186" s="73"/>
      <x:c r="H186" s="73"/>
      <x:c r="I186" s="73"/>
      <x:c r="J186" s="73"/>
      <x:c r="K186" s="73"/>
      <x:c r="L186" s="75" t="n">
        <x:f>IF(K186="",0,IF(K186&lt;=F186,J186,0))</x:f>
        <x:v>0</x:v>
      </x:c>
      <x:c r="M186" s="75" t="n">
        <x:f>G186-H186-I186+L186</x:f>
        <x:v>0</x:v>
      </x:c>
      <x:c r="N186" s="68"/>
    </x:row>
    <x:row r="187">
      <x:c r="A187" s="71"/>
      <x:c r="B187" s="72"/>
      <x:c r="C187" s="72"/>
      <x:c r="D187" s="72"/>
      <x:c r="E187" s="72"/>
      <x:c r="F187" s="71"/>
      <x:c r="G187" s="73"/>
      <x:c r="H187" s="73"/>
      <x:c r="I187" s="73"/>
      <x:c r="J187" s="73"/>
      <x:c r="K187" s="73"/>
      <x:c r="L187" s="75" t="n">
        <x:f>IF(K187="",0,IF(K187&lt;=F187,J187,0))</x:f>
        <x:v>0</x:v>
      </x:c>
      <x:c r="M187" s="75" t="n">
        <x:f>G187-H187-I187+L187</x:f>
        <x:v>0</x:v>
      </x:c>
      <x:c r="N187" s="68"/>
    </x:row>
    <x:row r="188">
      <x:c r="A188" s="71"/>
      <x:c r="B188" s="72"/>
      <x:c r="C188" s="72"/>
      <x:c r="D188" s="72"/>
      <x:c r="E188" s="72"/>
      <x:c r="F188" s="71"/>
      <x:c r="G188" s="73"/>
      <x:c r="H188" s="73"/>
      <x:c r="I188" s="73"/>
      <x:c r="J188" s="73"/>
      <x:c r="K188" s="73"/>
      <x:c r="L188" s="75" t="n">
        <x:f>IF(K188="",0,IF(K188&lt;=F188,J188,0))</x:f>
        <x:v>0</x:v>
      </x:c>
      <x:c r="M188" s="75" t="n">
        <x:f>G188-H188-I188+L188</x:f>
        <x:v>0</x:v>
      </x:c>
      <x:c r="N188" s="68"/>
    </x:row>
    <x:row r="189">
      <x:c r="A189" s="71"/>
      <x:c r="B189" s="72"/>
      <x:c r="C189" s="72"/>
      <x:c r="D189" s="72"/>
      <x:c r="E189" s="72"/>
      <x:c r="F189" s="71"/>
      <x:c r="G189" s="73"/>
      <x:c r="H189" s="73"/>
      <x:c r="I189" s="73"/>
      <x:c r="J189" s="73"/>
      <x:c r="K189" s="73"/>
      <x:c r="L189" s="75" t="n">
        <x:f>IF(K189="",0,IF(K189&lt;=F189,J189,0))</x:f>
        <x:v>0</x:v>
      </x:c>
      <x:c r="M189" s="75" t="n">
        <x:f>G189-H189-I189+L189</x:f>
        <x:v>0</x:v>
      </x:c>
      <x:c r="N189" s="68"/>
    </x:row>
    <x:row r="190">
      <x:c r="A190" s="71"/>
      <x:c r="B190" s="72"/>
      <x:c r="C190" s="72"/>
      <x:c r="D190" s="72"/>
      <x:c r="E190" s="72"/>
      <x:c r="F190" s="71"/>
      <x:c r="G190" s="73"/>
      <x:c r="H190" s="73"/>
      <x:c r="I190" s="73"/>
      <x:c r="J190" s="73"/>
      <x:c r="K190" s="73"/>
      <x:c r="L190" s="75" t="n">
        <x:f>IF(K190="",0,IF(K190&lt;=F190,J190,0))</x:f>
        <x:v>0</x:v>
      </x:c>
      <x:c r="M190" s="75" t="n">
        <x:f>G190-H190-I190+L190</x:f>
        <x:v>0</x:v>
      </x:c>
      <x:c r="N190" s="68"/>
    </x:row>
    <x:row r="191">
      <x:c r="A191" s="71"/>
      <x:c r="B191" s="72"/>
      <x:c r="C191" s="72"/>
      <x:c r="D191" s="72"/>
      <x:c r="E191" s="72"/>
      <x:c r="F191" s="71"/>
      <x:c r="G191" s="73"/>
      <x:c r="H191" s="73"/>
      <x:c r="I191" s="73"/>
      <x:c r="J191" s="73"/>
      <x:c r="K191" s="73"/>
      <x:c r="L191" s="75" t="n">
        <x:f>IF(K191="",0,IF(K191&lt;=F191,J191,0))</x:f>
        <x:v>0</x:v>
      </x:c>
      <x:c r="M191" s="75" t="n">
        <x:f>G191-H191-I191+L191</x:f>
        <x:v>0</x:v>
      </x:c>
      <x:c r="N191" s="68"/>
    </x:row>
    <x:row r="192">
      <x:c r="A192" s="71"/>
      <x:c r="B192" s="72"/>
      <x:c r="C192" s="72"/>
      <x:c r="D192" s="72"/>
      <x:c r="E192" s="72"/>
      <x:c r="F192" s="71"/>
      <x:c r="G192" s="73"/>
      <x:c r="H192" s="73"/>
      <x:c r="I192" s="73"/>
      <x:c r="J192" s="73"/>
      <x:c r="K192" s="73"/>
      <x:c r="L192" s="75" t="n">
        <x:f>IF(K192="",0,IF(K192&lt;=F192,J192,0))</x:f>
        <x:v>0</x:v>
      </x:c>
      <x:c r="M192" s="75" t="n">
        <x:f>G192-H192-I192+L192</x:f>
        <x:v>0</x:v>
      </x:c>
      <x:c r="N192" s="68"/>
    </x:row>
    <x:row r="193">
      <x:c r="A193" s="71"/>
      <x:c r="B193" s="72"/>
      <x:c r="C193" s="72"/>
      <x:c r="D193" s="72"/>
      <x:c r="E193" s="72"/>
      <x:c r="F193" s="71"/>
      <x:c r="G193" s="73"/>
      <x:c r="H193" s="73"/>
      <x:c r="I193" s="73"/>
      <x:c r="J193" s="73"/>
      <x:c r="K193" s="73"/>
      <x:c r="L193" s="75" t="n">
        <x:f>IF(K193="",0,IF(K193&lt;=F193,J193,0))</x:f>
        <x:v>0</x:v>
      </x:c>
      <x:c r="M193" s="75" t="n">
        <x:f>G193-H193-I193+L193</x:f>
        <x:v>0</x:v>
      </x:c>
      <x:c r="N193" s="68"/>
    </x:row>
    <x:row r="194">
      <x:c r="A194" s="71"/>
      <x:c r="B194" s="72"/>
      <x:c r="C194" s="72"/>
      <x:c r="D194" s="72"/>
      <x:c r="E194" s="72"/>
      <x:c r="F194" s="71"/>
      <x:c r="G194" s="73"/>
      <x:c r="H194" s="73"/>
      <x:c r="I194" s="73"/>
      <x:c r="J194" s="73"/>
      <x:c r="K194" s="73"/>
      <x:c r="L194" s="75" t="n">
        <x:f>IF(K194="",0,IF(K194&lt;=F194,J194,0))</x:f>
        <x:v>0</x:v>
      </x:c>
      <x:c r="M194" s="75" t="n">
        <x:f>G194-H194-I194+L194</x:f>
        <x:v>0</x:v>
      </x:c>
      <x:c r="N194" s="68"/>
    </x:row>
    <x:row r="195">
      <x:c r="A195" s="71"/>
      <x:c r="B195" s="72"/>
      <x:c r="C195" s="72"/>
      <x:c r="D195" s="72"/>
      <x:c r="E195" s="72"/>
      <x:c r="F195" s="71"/>
      <x:c r="G195" s="73"/>
      <x:c r="H195" s="73"/>
      <x:c r="I195" s="73"/>
      <x:c r="J195" s="73"/>
      <x:c r="K195" s="73"/>
      <x:c r="L195" s="75" t="n">
        <x:f>IF(K195="",0,IF(K195&lt;=F195,J195,0))</x:f>
        <x:v>0</x:v>
      </x:c>
      <x:c r="M195" s="75" t="n">
        <x:f>G195-H195-I195+L195</x:f>
        <x:v>0</x:v>
      </x:c>
      <x:c r="N195" s="68"/>
    </x:row>
    <x:row r="196">
      <x:c r="A196" s="71"/>
      <x:c r="B196" s="72"/>
      <x:c r="C196" s="72"/>
      <x:c r="D196" s="72"/>
      <x:c r="E196" s="72"/>
      <x:c r="F196" s="71"/>
      <x:c r="G196" s="73"/>
      <x:c r="H196" s="73"/>
      <x:c r="I196" s="73"/>
      <x:c r="J196" s="73"/>
      <x:c r="K196" s="73"/>
      <x:c r="L196" s="75" t="n">
        <x:f>IF(K196="",0,IF(K196&lt;=F196,J196,0))</x:f>
        <x:v>0</x:v>
      </x:c>
      <x:c r="M196" s="75" t="n">
        <x:f>G196-H196-I196+L196</x:f>
        <x:v>0</x:v>
      </x:c>
      <x:c r="N196" s="68"/>
    </x:row>
    <x:row r="197">
      <x:c r="A197" s="71"/>
      <x:c r="B197" s="72"/>
      <x:c r="C197" s="72"/>
      <x:c r="D197" s="72"/>
      <x:c r="E197" s="72"/>
      <x:c r="F197" s="71"/>
      <x:c r="G197" s="73"/>
      <x:c r="H197" s="73"/>
      <x:c r="I197" s="73"/>
      <x:c r="J197" s="73"/>
      <x:c r="K197" s="73"/>
      <x:c r="L197" s="75" t="n">
        <x:f>IF(K197="",0,IF(K197&lt;=F197,J197,0))</x:f>
        <x:v>0</x:v>
      </x:c>
      <x:c r="M197" s="75" t="n">
        <x:f>G197-H197-I197+L197</x:f>
        <x:v>0</x:v>
      </x:c>
      <x:c r="N197" s="68"/>
    </x:row>
    <x:row r="198">
      <x:c r="A198" s="71"/>
      <x:c r="B198" s="72"/>
      <x:c r="C198" s="72"/>
      <x:c r="D198" s="72"/>
      <x:c r="E198" s="72"/>
      <x:c r="F198" s="71"/>
      <x:c r="G198" s="73"/>
      <x:c r="H198" s="73"/>
      <x:c r="I198" s="73"/>
      <x:c r="J198" s="73"/>
      <x:c r="K198" s="73"/>
      <x:c r="L198" s="75" t="n">
        <x:f>IF(K198="",0,IF(K198&lt;=F198,J198,0))</x:f>
        <x:v>0</x:v>
      </x:c>
      <x:c r="M198" s="75" t="n">
        <x:f>G198-H198-I198+L198</x:f>
        <x:v>0</x:v>
      </x:c>
      <x:c r="N198" s="68"/>
    </x:row>
    <x:row r="199">
      <x:c r="A199" s="71"/>
      <x:c r="B199" s="72"/>
      <x:c r="C199" s="72"/>
      <x:c r="D199" s="72"/>
      <x:c r="E199" s="72"/>
      <x:c r="F199" s="71"/>
      <x:c r="G199" s="73"/>
      <x:c r="H199" s="73"/>
      <x:c r="I199" s="73"/>
      <x:c r="J199" s="73"/>
      <x:c r="K199" s="73"/>
      <x:c r="L199" s="75" t="n">
        <x:f>IF(K199="",0,IF(K199&lt;=F199,J199,0))</x:f>
        <x:v>0</x:v>
      </x:c>
      <x:c r="M199" s="75" t="n">
        <x:f>G199-H199-I199+L199</x:f>
        <x:v>0</x:v>
      </x:c>
      <x:c r="N199" s="68"/>
    </x:row>
    <x:row r="200">
      <x:c r="A200" s="71"/>
      <x:c r="B200" s="72"/>
      <x:c r="C200" s="72"/>
      <x:c r="D200" s="72"/>
      <x:c r="E200" s="72"/>
      <x:c r="F200" s="71"/>
      <x:c r="G200" s="73"/>
      <x:c r="H200" s="73"/>
      <x:c r="I200" s="73"/>
      <x:c r="J200" s="73"/>
      <x:c r="K200" s="73"/>
      <x:c r="L200" s="75" t="n">
        <x:f>IF(K200="",0,IF(K200&lt;=F200,J200,0))</x:f>
        <x:v>0</x:v>
      </x:c>
      <x:c r="M200" s="75" t="n">
        <x:f>G200-H200-I200+L200</x:f>
        <x:v>0</x:v>
      </x:c>
      <x:c r="N200" s="68"/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0" customHeight="1">
      <x:c r="A1" s="93" t="str">
        <x:v>기준정보: BOM·장착율·필수 옵션·Common품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</x:row>
    <x:row r="3">
      <x:c r="A3" s="67" t="str">
        <x:v>기종코드</x:v>
      </x:c>
      <x:c r="B3" s="67" t="str">
        <x:v>기종명</x:v>
      </x:c>
      <x:c r="C3" s="67" t="str">
        <x:v>옵션/부품코드</x:v>
      </x:c>
      <x:c r="D3" s="67" t="str">
        <x:v>옵션/부품명</x:v>
      </x:c>
      <x:c r="E3" s="67" t="str">
        <x:v>자재구분</x:v>
      </x:c>
      <x:c r="F3" s="67" t="str">
        <x:v>BOM 수량</x:v>
      </x:c>
      <x:c r="G3" s="67" t="str">
        <x:v>장착율</x:v>
      </x:c>
      <x:c r="H3" s="67" t="str">
        <x:v>필수품 여부</x:v>
      </x:c>
      <x:c r="I3" s="67" t="str">
        <x:v>Common품 여부</x:v>
      </x:c>
      <x:c r="J3" s="67" t="str">
        <x:v>평균사용량 3M</x:v>
      </x:c>
      <x:c r="K3" s="67" t="str">
        <x:v>평균사용량 6M</x:v>
      </x:c>
      <x:c r="L3" s="67" t="str">
        <x:v>평균사용량 12M</x:v>
      </x:c>
      <x:c r="M3" s="67" t="str">
        <x:v>적용 평균기준</x:v>
      </x:c>
    </x:row>
    <x:row r="4">
      <x:c r="A4" s="72" t="str">
        <x:v>PRT-A3-001</x:v>
      </x:c>
      <x:c r="B4" s="72" t="str">
        <x:v>A3 Printer</x:v>
      </x:c>
      <x:c r="C4" s="72" t="str">
        <x:v>OPT-FIN-001</x:v>
      </x:c>
      <x:c r="D4" s="72" t="str">
        <x:v>Finisher</x:v>
      </x:c>
      <x:c r="E4" s="72" t="str">
        <x:v>옵션</x:v>
      </x:c>
      <x:c r="F4" s="76" t="n">
        <x:v>1</x:v>
      </x:c>
      <x:c r="G4" s="74" t="n">
        <x:v>0.4</x:v>
      </x:c>
      <x:c r="H4" s="72" t="str">
        <x:v>N</x:v>
      </x:c>
      <x:c r="I4" s="72" t="str">
        <x:v>Y</x:v>
      </x:c>
      <x:c r="J4" s="73" t="n">
        <x:v>0</x:v>
      </x:c>
      <x:c r="K4" s="73" t="n">
        <x:v>0</x:v>
      </x:c>
      <x:c r="L4" s="73" t="n">
        <x:v>0</x:v>
      </x:c>
      <x:c r="M4" s="72" t="str">
        <x:v>-</x:v>
      </x:c>
    </x:row>
    <x:row r="5">
      <x:c r="A5" s="72" t="str">
        <x:v>PRT-A3-001</x:v>
      </x:c>
      <x:c r="B5" s="72" t="str">
        <x:v>A3 Printer</x:v>
      </x:c>
      <x:c r="C5" s="72" t="str">
        <x:v>OPT-TRAY-001</x:v>
      </x:c>
      <x:c r="D5" s="72" t="str">
        <x:v>Paper Tray</x:v>
      </x:c>
      <x:c r="E5" s="72" t="str">
        <x:v>옵션</x:v>
      </x:c>
      <x:c r="F5" s="76" t="n">
        <x:v>1</x:v>
      </x:c>
      <x:c r="G5" s="74" t="n">
        <x:v>1</x:v>
      </x:c>
      <x:c r="H5" s="72" t="str">
        <x:v>Y</x:v>
      </x:c>
      <x:c r="I5" s="72" t="str">
        <x:v>Y</x:v>
      </x:c>
      <x:c r="J5" s="73" t="n">
        <x:v>0</x:v>
      </x:c>
      <x:c r="K5" s="73" t="n">
        <x:v>0</x:v>
      </x:c>
      <x:c r="L5" s="73" t="n">
        <x:v>0</x:v>
      </x:c>
      <x:c r="M5" s="72" t="str">
        <x:v>-</x:v>
      </x:c>
    </x:row>
    <x:row r="6">
      <x:c r="A6" s="72" t="str">
        <x:v>PRT-A4-001</x:v>
      </x:c>
      <x:c r="B6" s="72" t="str">
        <x:v>A4 Printer</x:v>
      </x:c>
      <x:c r="C6" s="72" t="str">
        <x:v>OPT-FIN-001</x:v>
      </x:c>
      <x:c r="D6" s="72" t="str">
        <x:v>Finisher</x:v>
      </x:c>
      <x:c r="E6" s="72" t="str">
        <x:v>옵션</x:v>
      </x:c>
      <x:c r="F6" s="76" t="n">
        <x:v>1</x:v>
      </x:c>
      <x:c r="G6" s="74" t="n">
        <x:v>0.3</x:v>
      </x:c>
      <x:c r="H6" s="72" t="str">
        <x:v>N</x:v>
      </x:c>
      <x:c r="I6" s="72" t="str">
        <x:v>Y</x:v>
      </x:c>
      <x:c r="J6" s="73" t="n">
        <x:v>0</x:v>
      </x:c>
      <x:c r="K6" s="73" t="n">
        <x:v>0</x:v>
      </x:c>
      <x:c r="L6" s="73" t="n">
        <x:v>0</x:v>
      </x:c>
      <x:c r="M6" s="72" t="str">
        <x:v>-</x:v>
      </x:c>
    </x:row>
    <x:row r="7">
      <x:c r="A7" s="72" t="str">
        <x:v>PRT-A4-001</x:v>
      </x:c>
      <x:c r="B7" s="72" t="str">
        <x:v>A4 Printer</x:v>
      </x:c>
      <x:c r="C7" s="72" t="str">
        <x:v>OPT-TRAY-001</x:v>
      </x:c>
      <x:c r="D7" s="72" t="str">
        <x:v>Paper Tray</x:v>
      </x:c>
      <x:c r="E7" s="72" t="str">
        <x:v>옵션</x:v>
      </x:c>
      <x:c r="F7" s="76" t="n">
        <x:v>1</x:v>
      </x:c>
      <x:c r="G7" s="74" t="n">
        <x:v>1</x:v>
      </x:c>
      <x:c r="H7" s="72" t="str">
        <x:v>Y</x:v>
      </x:c>
      <x:c r="I7" s="72" t="str">
        <x:v>Y</x:v>
      </x:c>
      <x:c r="J7" s="73" t="n">
        <x:v>0</x:v>
      </x:c>
      <x:c r="K7" s="73" t="n">
        <x:v>0</x:v>
      </x:c>
      <x:c r="L7" s="73" t="n">
        <x:v>0</x:v>
      </x:c>
      <x:c r="M7" s="72" t="str">
        <x:v>-</x:v>
      </x:c>
    </x:row>
    <x:row r="8">
      <x:c r="A8" s="72" t="str">
        <x:v>PRT-A3-001</x:v>
      </x:c>
      <x:c r="B8" s="72" t="str">
        <x:v>A3 Printer</x:v>
      </x:c>
      <x:c r="C8" s="72" t="str">
        <x:v>CON-TNR-001</x:v>
      </x:c>
      <x:c r="D8" s="72" t="str">
        <x:v>Toner</x:v>
      </x:c>
      <x:c r="E8" s="72" t="str">
        <x:v>소모품</x:v>
      </x:c>
      <x:c r="F8" s="76" t="n">
        <x:v>1</x:v>
      </x:c>
      <x:c r="G8" s="74" t="n">
        <x:v>1</x:v>
      </x:c>
      <x:c r="H8" s="72" t="str">
        <x:v>N</x:v>
      </x:c>
      <x:c r="I8" s="72" t="str">
        <x:v>Y</x:v>
      </x:c>
      <x:c r="J8" s="73" t="n">
        <x:v>90</x:v>
      </x:c>
      <x:c r="K8" s="73" t="n">
        <x:v>180</x:v>
      </x:c>
      <x:c r="L8" s="73" t="n">
        <x:v>360</x:v>
      </x:c>
      <x:c r="M8" s="72" t="str">
        <x:v>3Month</x:v>
      </x:c>
    </x:row>
    <x:row r="9">
      <x:c r="A9" s="72"/>
      <x:c r="B9" s="72"/>
      <x:c r="C9" s="72"/>
      <x:c r="D9" s="72"/>
      <x:c r="E9" s="72"/>
      <x:c r="F9" s="76"/>
      <x:c r="G9" s="74"/>
      <x:c r="H9" s="72"/>
      <x:c r="I9" s="72"/>
      <x:c r="J9" s="73"/>
      <x:c r="K9" s="73"/>
      <x:c r="L9" s="73"/>
      <x:c r="M9" s="72"/>
    </x:row>
    <x:row r="10">
      <x:c r="A10" s="72"/>
      <x:c r="B10" s="72"/>
      <x:c r="C10" s="72"/>
      <x:c r="D10" s="72"/>
      <x:c r="E10" s="72"/>
      <x:c r="F10" s="76"/>
      <x:c r="G10" s="74"/>
      <x:c r="H10" s="72"/>
      <x:c r="I10" s="72"/>
      <x:c r="J10" s="73"/>
      <x:c r="K10" s="73"/>
      <x:c r="L10" s="73"/>
      <x:c r="M10" s="72"/>
    </x:row>
    <x:row r="11">
      <x:c r="A11" s="72"/>
      <x:c r="B11" s="72"/>
      <x:c r="C11" s="72"/>
      <x:c r="D11" s="72"/>
      <x:c r="E11" s="72"/>
      <x:c r="F11" s="76"/>
      <x:c r="G11" s="74"/>
      <x:c r="H11" s="72"/>
      <x:c r="I11" s="72"/>
      <x:c r="J11" s="73"/>
      <x:c r="K11" s="73"/>
      <x:c r="L11" s="73"/>
      <x:c r="M11" s="72"/>
    </x:row>
    <x:row r="12">
      <x:c r="A12" s="72"/>
      <x:c r="B12" s="72"/>
      <x:c r="C12" s="72"/>
      <x:c r="D12" s="72"/>
      <x:c r="E12" s="72"/>
      <x:c r="F12" s="76"/>
      <x:c r="G12" s="74"/>
      <x:c r="H12" s="72"/>
      <x:c r="I12" s="72"/>
      <x:c r="J12" s="73"/>
      <x:c r="K12" s="73"/>
      <x:c r="L12" s="73"/>
      <x:c r="M12" s="72"/>
    </x:row>
    <x:row r="13">
      <x:c r="A13" s="72"/>
      <x:c r="B13" s="72"/>
      <x:c r="C13" s="72"/>
      <x:c r="D13" s="72"/>
      <x:c r="E13" s="72"/>
      <x:c r="F13" s="76"/>
      <x:c r="G13" s="74"/>
      <x:c r="H13" s="72"/>
      <x:c r="I13" s="72"/>
      <x:c r="J13" s="73"/>
      <x:c r="K13" s="73"/>
      <x:c r="L13" s="73"/>
      <x:c r="M13" s="72"/>
    </x:row>
    <x:row r="14">
      <x:c r="A14" s="72"/>
      <x:c r="B14" s="72"/>
      <x:c r="C14" s="72"/>
      <x:c r="D14" s="72"/>
      <x:c r="E14" s="72"/>
      <x:c r="F14" s="76"/>
      <x:c r="G14" s="74"/>
      <x:c r="H14" s="72"/>
      <x:c r="I14" s="72"/>
      <x:c r="J14" s="73"/>
      <x:c r="K14" s="73"/>
      <x:c r="L14" s="73"/>
      <x:c r="M14" s="72"/>
    </x:row>
    <x:row r="15">
      <x:c r="A15" s="72"/>
      <x:c r="B15" s="72"/>
      <x:c r="C15" s="72"/>
      <x:c r="D15" s="72"/>
      <x:c r="E15" s="72"/>
      <x:c r="F15" s="76"/>
      <x:c r="G15" s="74"/>
      <x:c r="H15" s="72"/>
      <x:c r="I15" s="72"/>
      <x:c r="J15" s="73"/>
      <x:c r="K15" s="73"/>
      <x:c r="L15" s="73"/>
      <x:c r="M15" s="72"/>
    </x:row>
    <x:row r="16">
      <x:c r="A16" s="72"/>
      <x:c r="B16" s="72"/>
      <x:c r="C16" s="72"/>
      <x:c r="D16" s="72"/>
      <x:c r="E16" s="72"/>
      <x:c r="F16" s="76"/>
      <x:c r="G16" s="74"/>
      <x:c r="H16" s="72"/>
      <x:c r="I16" s="72"/>
      <x:c r="J16" s="73"/>
      <x:c r="K16" s="73"/>
      <x:c r="L16" s="73"/>
      <x:c r="M16" s="72"/>
    </x:row>
    <x:row r="17">
      <x:c r="A17" s="72"/>
      <x:c r="B17" s="72"/>
      <x:c r="C17" s="72"/>
      <x:c r="D17" s="72"/>
      <x:c r="E17" s="72"/>
      <x:c r="F17" s="76"/>
      <x:c r="G17" s="74"/>
      <x:c r="H17" s="72"/>
      <x:c r="I17" s="72"/>
      <x:c r="J17" s="73"/>
      <x:c r="K17" s="73"/>
      <x:c r="L17" s="73"/>
      <x:c r="M17" s="72"/>
    </x:row>
    <x:row r="18">
      <x:c r="A18" s="72"/>
      <x:c r="B18" s="72"/>
      <x:c r="C18" s="72"/>
      <x:c r="D18" s="72"/>
      <x:c r="E18" s="72"/>
      <x:c r="F18" s="76"/>
      <x:c r="G18" s="74"/>
      <x:c r="H18" s="72"/>
      <x:c r="I18" s="72"/>
      <x:c r="J18" s="73"/>
      <x:c r="K18" s="73"/>
      <x:c r="L18" s="73"/>
      <x:c r="M18" s="72"/>
    </x:row>
    <x:row r="19">
      <x:c r="A19" s="72"/>
      <x:c r="B19" s="72"/>
      <x:c r="C19" s="72"/>
      <x:c r="D19" s="72"/>
      <x:c r="E19" s="72"/>
      <x:c r="F19" s="76"/>
      <x:c r="G19" s="74"/>
      <x:c r="H19" s="72"/>
      <x:c r="I19" s="72"/>
      <x:c r="J19" s="73"/>
      <x:c r="K19" s="73"/>
      <x:c r="L19" s="73"/>
      <x:c r="M19" s="72"/>
    </x:row>
    <x:row r="20">
      <x:c r="A20" s="72"/>
      <x:c r="B20" s="72"/>
      <x:c r="C20" s="72"/>
      <x:c r="D20" s="72"/>
      <x:c r="E20" s="72"/>
      <x:c r="F20" s="76"/>
      <x:c r="G20" s="74"/>
      <x:c r="H20" s="72"/>
      <x:c r="I20" s="72"/>
      <x:c r="J20" s="73"/>
      <x:c r="K20" s="73"/>
      <x:c r="L20" s="73"/>
      <x:c r="M20" s="72"/>
    </x:row>
    <x:row r="21">
      <x:c r="A21" s="72"/>
      <x:c r="B21" s="72"/>
      <x:c r="C21" s="72"/>
      <x:c r="D21" s="72"/>
      <x:c r="E21" s="72"/>
      <x:c r="F21" s="76"/>
      <x:c r="G21" s="74"/>
      <x:c r="H21" s="72"/>
      <x:c r="I21" s="72"/>
      <x:c r="J21" s="73"/>
      <x:c r="K21" s="73"/>
      <x:c r="L21" s="73"/>
      <x:c r="M21" s="72"/>
    </x:row>
    <x:row r="22">
      <x:c r="A22" s="72"/>
      <x:c r="B22" s="72"/>
      <x:c r="C22" s="72"/>
      <x:c r="D22" s="72"/>
      <x:c r="E22" s="72"/>
      <x:c r="F22" s="76"/>
      <x:c r="G22" s="74"/>
      <x:c r="H22" s="72"/>
      <x:c r="I22" s="72"/>
      <x:c r="J22" s="73"/>
      <x:c r="K22" s="73"/>
      <x:c r="L22" s="73"/>
      <x:c r="M22" s="72"/>
    </x:row>
    <x:row r="23">
      <x:c r="A23" s="72"/>
      <x:c r="B23" s="72"/>
      <x:c r="C23" s="72"/>
      <x:c r="D23" s="72"/>
      <x:c r="E23" s="72"/>
      <x:c r="F23" s="76"/>
      <x:c r="G23" s="74"/>
      <x:c r="H23" s="72"/>
      <x:c r="I23" s="72"/>
      <x:c r="J23" s="73"/>
      <x:c r="K23" s="73"/>
      <x:c r="L23" s="73"/>
      <x:c r="M23" s="72"/>
    </x:row>
    <x:row r="24">
      <x:c r="A24" s="72"/>
      <x:c r="B24" s="72"/>
      <x:c r="C24" s="72"/>
      <x:c r="D24" s="72"/>
      <x:c r="E24" s="72"/>
      <x:c r="F24" s="76"/>
      <x:c r="G24" s="74"/>
      <x:c r="H24" s="72"/>
      <x:c r="I24" s="72"/>
      <x:c r="J24" s="73"/>
      <x:c r="K24" s="73"/>
      <x:c r="L24" s="73"/>
      <x:c r="M24" s="72"/>
    </x:row>
    <x:row r="25">
      <x:c r="A25" s="72"/>
      <x:c r="B25" s="72"/>
      <x:c r="C25" s="72"/>
      <x:c r="D25" s="72"/>
      <x:c r="E25" s="72"/>
      <x:c r="F25" s="76"/>
      <x:c r="G25" s="74"/>
      <x:c r="H25" s="72"/>
      <x:c r="I25" s="72"/>
      <x:c r="J25" s="73"/>
      <x:c r="K25" s="73"/>
      <x:c r="L25" s="73"/>
      <x:c r="M25" s="72"/>
    </x:row>
    <x:row r="26">
      <x:c r="A26" s="72"/>
      <x:c r="B26" s="72"/>
      <x:c r="C26" s="72"/>
      <x:c r="D26" s="72"/>
      <x:c r="E26" s="72"/>
      <x:c r="F26" s="76"/>
      <x:c r="G26" s="74"/>
      <x:c r="H26" s="72"/>
      <x:c r="I26" s="72"/>
      <x:c r="J26" s="73"/>
      <x:c r="K26" s="73"/>
      <x:c r="L26" s="73"/>
      <x:c r="M26" s="72"/>
    </x:row>
    <x:row r="27">
      <x:c r="A27" s="72"/>
      <x:c r="B27" s="72"/>
      <x:c r="C27" s="72"/>
      <x:c r="D27" s="72"/>
      <x:c r="E27" s="72"/>
      <x:c r="F27" s="76"/>
      <x:c r="G27" s="74"/>
      <x:c r="H27" s="72"/>
      <x:c r="I27" s="72"/>
      <x:c r="J27" s="73"/>
      <x:c r="K27" s="73"/>
      <x:c r="L27" s="73"/>
      <x:c r="M27" s="72"/>
    </x:row>
    <x:row r="28">
      <x:c r="A28" s="72"/>
      <x:c r="B28" s="72"/>
      <x:c r="C28" s="72"/>
      <x:c r="D28" s="72"/>
      <x:c r="E28" s="72"/>
      <x:c r="F28" s="76"/>
      <x:c r="G28" s="74"/>
      <x:c r="H28" s="72"/>
      <x:c r="I28" s="72"/>
      <x:c r="J28" s="73"/>
      <x:c r="K28" s="73"/>
      <x:c r="L28" s="73"/>
      <x:c r="M28" s="72"/>
    </x:row>
    <x:row r="29">
      <x:c r="A29" s="72"/>
      <x:c r="B29" s="72"/>
      <x:c r="C29" s="72"/>
      <x:c r="D29" s="72"/>
      <x:c r="E29" s="72"/>
      <x:c r="F29" s="76"/>
      <x:c r="G29" s="74"/>
      <x:c r="H29" s="72"/>
      <x:c r="I29" s="72"/>
      <x:c r="J29" s="73"/>
      <x:c r="K29" s="73"/>
      <x:c r="L29" s="73"/>
      <x:c r="M29" s="72"/>
    </x:row>
    <x:row r="30">
      <x:c r="A30" s="72"/>
      <x:c r="B30" s="72"/>
      <x:c r="C30" s="72"/>
      <x:c r="D30" s="72"/>
      <x:c r="E30" s="72"/>
      <x:c r="F30" s="76"/>
      <x:c r="G30" s="74"/>
      <x:c r="H30" s="72"/>
      <x:c r="I30" s="72"/>
      <x:c r="J30" s="73"/>
      <x:c r="K30" s="73"/>
      <x:c r="L30" s="73"/>
      <x:c r="M30" s="72"/>
    </x:row>
    <x:row r="31">
      <x:c r="A31" s="72"/>
      <x:c r="B31" s="72"/>
      <x:c r="C31" s="72"/>
      <x:c r="D31" s="72"/>
      <x:c r="E31" s="72"/>
      <x:c r="F31" s="76"/>
      <x:c r="G31" s="74"/>
      <x:c r="H31" s="72"/>
      <x:c r="I31" s="72"/>
      <x:c r="J31" s="73"/>
      <x:c r="K31" s="73"/>
      <x:c r="L31" s="73"/>
      <x:c r="M31" s="72"/>
    </x:row>
    <x:row r="32">
      <x:c r="A32" s="72"/>
      <x:c r="B32" s="72"/>
      <x:c r="C32" s="72"/>
      <x:c r="D32" s="72"/>
      <x:c r="E32" s="72"/>
      <x:c r="F32" s="76"/>
      <x:c r="G32" s="74"/>
      <x:c r="H32" s="72"/>
      <x:c r="I32" s="72"/>
      <x:c r="J32" s="73"/>
      <x:c r="K32" s="73"/>
      <x:c r="L32" s="73"/>
      <x:c r="M32" s="72"/>
    </x:row>
    <x:row r="33">
      <x:c r="A33" s="72"/>
      <x:c r="B33" s="72"/>
      <x:c r="C33" s="72"/>
      <x:c r="D33" s="72"/>
      <x:c r="E33" s="72"/>
      <x:c r="F33" s="76"/>
      <x:c r="G33" s="74"/>
      <x:c r="H33" s="72"/>
      <x:c r="I33" s="72"/>
      <x:c r="J33" s="73"/>
      <x:c r="K33" s="73"/>
      <x:c r="L33" s="73"/>
      <x:c r="M33" s="72"/>
    </x:row>
    <x:row r="34">
      <x:c r="A34" s="72"/>
      <x:c r="B34" s="72"/>
      <x:c r="C34" s="72"/>
      <x:c r="D34" s="72"/>
      <x:c r="E34" s="72"/>
      <x:c r="F34" s="76"/>
      <x:c r="G34" s="74"/>
      <x:c r="H34" s="72"/>
      <x:c r="I34" s="72"/>
      <x:c r="J34" s="73"/>
      <x:c r="K34" s="73"/>
      <x:c r="L34" s="73"/>
      <x:c r="M34" s="72"/>
    </x:row>
    <x:row r="35">
      <x:c r="A35" s="72"/>
      <x:c r="B35" s="72"/>
      <x:c r="C35" s="72"/>
      <x:c r="D35" s="72"/>
      <x:c r="E35" s="72"/>
      <x:c r="F35" s="76"/>
      <x:c r="G35" s="74"/>
      <x:c r="H35" s="72"/>
      <x:c r="I35" s="72"/>
      <x:c r="J35" s="73"/>
      <x:c r="K35" s="73"/>
      <x:c r="L35" s="73"/>
      <x:c r="M35" s="72"/>
    </x:row>
    <x:row r="36">
      <x:c r="A36" s="72"/>
      <x:c r="B36" s="72"/>
      <x:c r="C36" s="72"/>
      <x:c r="D36" s="72"/>
      <x:c r="E36" s="72"/>
      <x:c r="F36" s="76"/>
      <x:c r="G36" s="74"/>
      <x:c r="H36" s="72"/>
      <x:c r="I36" s="72"/>
      <x:c r="J36" s="73"/>
      <x:c r="K36" s="73"/>
      <x:c r="L36" s="73"/>
      <x:c r="M36" s="72"/>
    </x:row>
    <x:row r="37">
      <x:c r="A37" s="72"/>
      <x:c r="B37" s="72"/>
      <x:c r="C37" s="72"/>
      <x:c r="D37" s="72"/>
      <x:c r="E37" s="72"/>
      <x:c r="F37" s="76"/>
      <x:c r="G37" s="74"/>
      <x:c r="H37" s="72"/>
      <x:c r="I37" s="72"/>
      <x:c r="J37" s="73"/>
      <x:c r="K37" s="73"/>
      <x:c r="L37" s="73"/>
      <x:c r="M37" s="72"/>
    </x:row>
    <x:row r="38">
      <x:c r="A38" s="72"/>
      <x:c r="B38" s="72"/>
      <x:c r="C38" s="72"/>
      <x:c r="D38" s="72"/>
      <x:c r="E38" s="72"/>
      <x:c r="F38" s="76"/>
      <x:c r="G38" s="74"/>
      <x:c r="H38" s="72"/>
      <x:c r="I38" s="72"/>
      <x:c r="J38" s="73"/>
      <x:c r="K38" s="73"/>
      <x:c r="L38" s="73"/>
      <x:c r="M38" s="72"/>
    </x:row>
    <x:row r="39">
      <x:c r="A39" s="72"/>
      <x:c r="B39" s="72"/>
      <x:c r="C39" s="72"/>
      <x:c r="D39" s="72"/>
      <x:c r="E39" s="72"/>
      <x:c r="F39" s="76"/>
      <x:c r="G39" s="74"/>
      <x:c r="H39" s="72"/>
      <x:c r="I39" s="72"/>
      <x:c r="J39" s="73"/>
      <x:c r="K39" s="73"/>
      <x:c r="L39" s="73"/>
      <x:c r="M39" s="72"/>
    </x:row>
    <x:row r="40">
      <x:c r="A40" s="72"/>
      <x:c r="B40" s="72"/>
      <x:c r="C40" s="72"/>
      <x:c r="D40" s="72"/>
      <x:c r="E40" s="72"/>
      <x:c r="F40" s="76"/>
      <x:c r="G40" s="74"/>
      <x:c r="H40" s="72"/>
      <x:c r="I40" s="72"/>
      <x:c r="J40" s="73"/>
      <x:c r="K40" s="73"/>
      <x:c r="L40" s="73"/>
      <x:c r="M40" s="72"/>
    </x:row>
    <x:row r="41">
      <x:c r="A41" s="72"/>
      <x:c r="B41" s="72"/>
      <x:c r="C41" s="72"/>
      <x:c r="D41" s="72"/>
      <x:c r="E41" s="72"/>
      <x:c r="F41" s="76"/>
      <x:c r="G41" s="74"/>
      <x:c r="H41" s="72"/>
      <x:c r="I41" s="72"/>
      <x:c r="J41" s="73"/>
      <x:c r="K41" s="73"/>
      <x:c r="L41" s="73"/>
      <x:c r="M41" s="72"/>
    </x:row>
    <x:row r="42">
      <x:c r="A42" s="72"/>
      <x:c r="B42" s="72"/>
      <x:c r="C42" s="72"/>
      <x:c r="D42" s="72"/>
      <x:c r="E42" s="72"/>
      <x:c r="F42" s="76"/>
      <x:c r="G42" s="74"/>
      <x:c r="H42" s="72"/>
      <x:c r="I42" s="72"/>
      <x:c r="J42" s="73"/>
      <x:c r="K42" s="73"/>
      <x:c r="L42" s="73"/>
      <x:c r="M42" s="72"/>
    </x:row>
    <x:row r="43">
      <x:c r="A43" s="72"/>
      <x:c r="B43" s="72"/>
      <x:c r="C43" s="72"/>
      <x:c r="D43" s="72"/>
      <x:c r="E43" s="72"/>
      <x:c r="F43" s="76"/>
      <x:c r="G43" s="74"/>
      <x:c r="H43" s="72"/>
      <x:c r="I43" s="72"/>
      <x:c r="J43" s="73"/>
      <x:c r="K43" s="73"/>
      <x:c r="L43" s="73"/>
      <x:c r="M43" s="72"/>
    </x:row>
    <x:row r="44">
      <x:c r="A44" s="72"/>
      <x:c r="B44" s="72"/>
      <x:c r="C44" s="72"/>
      <x:c r="D44" s="72"/>
      <x:c r="E44" s="72"/>
      <x:c r="F44" s="76"/>
      <x:c r="G44" s="74"/>
      <x:c r="H44" s="72"/>
      <x:c r="I44" s="72"/>
      <x:c r="J44" s="73"/>
      <x:c r="K44" s="73"/>
      <x:c r="L44" s="73"/>
      <x:c r="M44" s="72"/>
    </x:row>
    <x:row r="45">
      <x:c r="A45" s="72"/>
      <x:c r="B45" s="72"/>
      <x:c r="C45" s="72"/>
      <x:c r="D45" s="72"/>
      <x:c r="E45" s="72"/>
      <x:c r="F45" s="76"/>
      <x:c r="G45" s="74"/>
      <x:c r="H45" s="72"/>
      <x:c r="I45" s="72"/>
      <x:c r="J45" s="73"/>
      <x:c r="K45" s="73"/>
      <x:c r="L45" s="73"/>
      <x:c r="M45" s="72"/>
    </x:row>
    <x:row r="46">
      <x:c r="A46" s="72"/>
      <x:c r="B46" s="72"/>
      <x:c r="C46" s="72"/>
      <x:c r="D46" s="72"/>
      <x:c r="E46" s="72"/>
      <x:c r="F46" s="76"/>
      <x:c r="G46" s="74"/>
      <x:c r="H46" s="72"/>
      <x:c r="I46" s="72"/>
      <x:c r="J46" s="73"/>
      <x:c r="K46" s="73"/>
      <x:c r="L46" s="73"/>
      <x:c r="M46" s="72"/>
    </x:row>
    <x:row r="47">
      <x:c r="A47" s="72"/>
      <x:c r="B47" s="72"/>
      <x:c r="C47" s="72"/>
      <x:c r="D47" s="72"/>
      <x:c r="E47" s="72"/>
      <x:c r="F47" s="76"/>
      <x:c r="G47" s="74"/>
      <x:c r="H47" s="72"/>
      <x:c r="I47" s="72"/>
      <x:c r="J47" s="73"/>
      <x:c r="K47" s="73"/>
      <x:c r="L47" s="73"/>
      <x:c r="M47" s="72"/>
    </x:row>
    <x:row r="48">
      <x:c r="A48" s="72"/>
      <x:c r="B48" s="72"/>
      <x:c r="C48" s="72"/>
      <x:c r="D48" s="72"/>
      <x:c r="E48" s="72"/>
      <x:c r="F48" s="76"/>
      <x:c r="G48" s="74"/>
      <x:c r="H48" s="72"/>
      <x:c r="I48" s="72"/>
      <x:c r="J48" s="73"/>
      <x:c r="K48" s="73"/>
      <x:c r="L48" s="73"/>
      <x:c r="M48" s="72"/>
    </x:row>
    <x:row r="49">
      <x:c r="A49" s="72"/>
      <x:c r="B49" s="72"/>
      <x:c r="C49" s="72"/>
      <x:c r="D49" s="72"/>
      <x:c r="E49" s="72"/>
      <x:c r="F49" s="76"/>
      <x:c r="G49" s="74"/>
      <x:c r="H49" s="72"/>
      <x:c r="I49" s="72"/>
      <x:c r="J49" s="73"/>
      <x:c r="K49" s="73"/>
      <x:c r="L49" s="73"/>
      <x:c r="M49" s="72"/>
    </x:row>
    <x:row r="50">
      <x:c r="A50" s="72"/>
      <x:c r="B50" s="72"/>
      <x:c r="C50" s="72"/>
      <x:c r="D50" s="72"/>
      <x:c r="E50" s="72"/>
      <x:c r="F50" s="76"/>
      <x:c r="G50" s="74"/>
      <x:c r="H50" s="72"/>
      <x:c r="I50" s="72"/>
      <x:c r="J50" s="73"/>
      <x:c r="K50" s="73"/>
      <x:c r="L50" s="73"/>
      <x:c r="M50" s="72"/>
    </x:row>
    <x:row r="51">
      <x:c r="A51" s="72"/>
      <x:c r="B51" s="72"/>
      <x:c r="C51" s="72"/>
      <x:c r="D51" s="72"/>
      <x:c r="E51" s="72"/>
      <x:c r="F51" s="76"/>
      <x:c r="G51" s="74"/>
      <x:c r="H51" s="72"/>
      <x:c r="I51" s="72"/>
      <x:c r="J51" s="73"/>
      <x:c r="K51" s="73"/>
      <x:c r="L51" s="73"/>
      <x:c r="M51" s="72"/>
    </x:row>
    <x:row r="52">
      <x:c r="A52" s="72"/>
      <x:c r="B52" s="72"/>
      <x:c r="C52" s="72"/>
      <x:c r="D52" s="72"/>
      <x:c r="E52" s="72"/>
      <x:c r="F52" s="76"/>
      <x:c r="G52" s="74"/>
      <x:c r="H52" s="72"/>
      <x:c r="I52" s="72"/>
      <x:c r="J52" s="73"/>
      <x:c r="K52" s="73"/>
      <x:c r="L52" s="73"/>
      <x:c r="M52" s="72"/>
    </x:row>
    <x:row r="53">
      <x:c r="A53" s="72"/>
      <x:c r="B53" s="72"/>
      <x:c r="C53" s="72"/>
      <x:c r="D53" s="72"/>
      <x:c r="E53" s="72"/>
      <x:c r="F53" s="76"/>
      <x:c r="G53" s="74"/>
      <x:c r="H53" s="72"/>
      <x:c r="I53" s="72"/>
      <x:c r="J53" s="73"/>
      <x:c r="K53" s="73"/>
      <x:c r="L53" s="73"/>
      <x:c r="M53" s="72"/>
    </x:row>
    <x:row r="54">
      <x:c r="A54" s="72"/>
      <x:c r="B54" s="72"/>
      <x:c r="C54" s="72"/>
      <x:c r="D54" s="72"/>
      <x:c r="E54" s="72"/>
      <x:c r="F54" s="76"/>
      <x:c r="G54" s="74"/>
      <x:c r="H54" s="72"/>
      <x:c r="I54" s="72"/>
      <x:c r="J54" s="73"/>
      <x:c r="K54" s="73"/>
      <x:c r="L54" s="73"/>
      <x:c r="M54" s="72"/>
    </x:row>
    <x:row r="55">
      <x:c r="A55" s="72"/>
      <x:c r="B55" s="72"/>
      <x:c r="C55" s="72"/>
      <x:c r="D55" s="72"/>
      <x:c r="E55" s="72"/>
      <x:c r="F55" s="76"/>
      <x:c r="G55" s="74"/>
      <x:c r="H55" s="72"/>
      <x:c r="I55" s="72"/>
      <x:c r="J55" s="73"/>
      <x:c r="K55" s="73"/>
      <x:c r="L55" s="73"/>
      <x:c r="M55" s="72"/>
    </x:row>
    <x:row r="56">
      <x:c r="A56" s="72"/>
      <x:c r="B56" s="72"/>
      <x:c r="C56" s="72"/>
      <x:c r="D56" s="72"/>
      <x:c r="E56" s="72"/>
      <x:c r="F56" s="76"/>
      <x:c r="G56" s="74"/>
      <x:c r="H56" s="72"/>
      <x:c r="I56" s="72"/>
      <x:c r="J56" s="73"/>
      <x:c r="K56" s="73"/>
      <x:c r="L56" s="73"/>
      <x:c r="M56" s="72"/>
    </x:row>
    <x:row r="57">
      <x:c r="A57" s="72"/>
      <x:c r="B57" s="72"/>
      <x:c r="C57" s="72"/>
      <x:c r="D57" s="72"/>
      <x:c r="E57" s="72"/>
      <x:c r="F57" s="76"/>
      <x:c r="G57" s="74"/>
      <x:c r="H57" s="72"/>
      <x:c r="I57" s="72"/>
      <x:c r="J57" s="73"/>
      <x:c r="K57" s="73"/>
      <x:c r="L57" s="73"/>
      <x:c r="M57" s="72"/>
    </x:row>
    <x:row r="58">
      <x:c r="A58" s="72"/>
      <x:c r="B58" s="72"/>
      <x:c r="C58" s="72"/>
      <x:c r="D58" s="72"/>
      <x:c r="E58" s="72"/>
      <x:c r="F58" s="76"/>
      <x:c r="G58" s="74"/>
      <x:c r="H58" s="72"/>
      <x:c r="I58" s="72"/>
      <x:c r="J58" s="73"/>
      <x:c r="K58" s="73"/>
      <x:c r="L58" s="73"/>
      <x:c r="M58" s="72"/>
    </x:row>
    <x:row r="59">
      <x:c r="A59" s="72"/>
      <x:c r="B59" s="72"/>
      <x:c r="C59" s="72"/>
      <x:c r="D59" s="72"/>
      <x:c r="E59" s="72"/>
      <x:c r="F59" s="76"/>
      <x:c r="G59" s="74"/>
      <x:c r="H59" s="72"/>
      <x:c r="I59" s="72"/>
      <x:c r="J59" s="73"/>
      <x:c r="K59" s="73"/>
      <x:c r="L59" s="73"/>
      <x:c r="M59" s="72"/>
    </x:row>
    <x:row r="60">
      <x:c r="A60" s="72"/>
      <x:c r="B60" s="72"/>
      <x:c r="C60" s="72"/>
      <x:c r="D60" s="72"/>
      <x:c r="E60" s="72"/>
      <x:c r="F60" s="76"/>
      <x:c r="G60" s="74"/>
      <x:c r="H60" s="72"/>
      <x:c r="I60" s="72"/>
      <x:c r="J60" s="73"/>
      <x:c r="K60" s="73"/>
      <x:c r="L60" s="73"/>
      <x:c r="M60" s="72"/>
    </x:row>
    <x:row r="61">
      <x:c r="A61" s="72"/>
      <x:c r="B61" s="72"/>
      <x:c r="C61" s="72"/>
      <x:c r="D61" s="72"/>
      <x:c r="E61" s="72"/>
      <x:c r="F61" s="76"/>
      <x:c r="G61" s="74"/>
      <x:c r="H61" s="72"/>
      <x:c r="I61" s="72"/>
      <x:c r="J61" s="73"/>
      <x:c r="K61" s="73"/>
      <x:c r="L61" s="73"/>
      <x:c r="M61" s="72"/>
    </x:row>
    <x:row r="62">
      <x:c r="A62" s="72"/>
      <x:c r="B62" s="72"/>
      <x:c r="C62" s="72"/>
      <x:c r="D62" s="72"/>
      <x:c r="E62" s="72"/>
      <x:c r="F62" s="76"/>
      <x:c r="G62" s="74"/>
      <x:c r="H62" s="72"/>
      <x:c r="I62" s="72"/>
      <x:c r="J62" s="73"/>
      <x:c r="K62" s="73"/>
      <x:c r="L62" s="73"/>
      <x:c r="M62" s="72"/>
    </x:row>
    <x:row r="63">
      <x:c r="A63" s="72"/>
      <x:c r="B63" s="72"/>
      <x:c r="C63" s="72"/>
      <x:c r="D63" s="72"/>
      <x:c r="E63" s="72"/>
      <x:c r="F63" s="76"/>
      <x:c r="G63" s="74"/>
      <x:c r="H63" s="72"/>
      <x:c r="I63" s="72"/>
      <x:c r="J63" s="73"/>
      <x:c r="K63" s="73"/>
      <x:c r="L63" s="73"/>
      <x:c r="M63" s="72"/>
    </x:row>
    <x:row r="64">
      <x:c r="A64" s="72"/>
      <x:c r="B64" s="72"/>
      <x:c r="C64" s="72"/>
      <x:c r="D64" s="72"/>
      <x:c r="E64" s="72"/>
      <x:c r="F64" s="76"/>
      <x:c r="G64" s="74"/>
      <x:c r="H64" s="72"/>
      <x:c r="I64" s="72"/>
      <x:c r="J64" s="73"/>
      <x:c r="K64" s="73"/>
      <x:c r="L64" s="73"/>
      <x:c r="M64" s="72"/>
    </x:row>
    <x:row r="65">
      <x:c r="A65" s="72"/>
      <x:c r="B65" s="72"/>
      <x:c r="C65" s="72"/>
      <x:c r="D65" s="72"/>
      <x:c r="E65" s="72"/>
      <x:c r="F65" s="76"/>
      <x:c r="G65" s="74"/>
      <x:c r="H65" s="72"/>
      <x:c r="I65" s="72"/>
      <x:c r="J65" s="73"/>
      <x:c r="K65" s="73"/>
      <x:c r="L65" s="73"/>
      <x:c r="M65" s="72"/>
    </x:row>
    <x:row r="66">
      <x:c r="A66" s="72"/>
      <x:c r="B66" s="72"/>
      <x:c r="C66" s="72"/>
      <x:c r="D66" s="72"/>
      <x:c r="E66" s="72"/>
      <x:c r="F66" s="76"/>
      <x:c r="G66" s="74"/>
      <x:c r="H66" s="72"/>
      <x:c r="I66" s="72"/>
      <x:c r="J66" s="73"/>
      <x:c r="K66" s="73"/>
      <x:c r="L66" s="73"/>
      <x:c r="M66" s="72"/>
    </x:row>
    <x:row r="67">
      <x:c r="A67" s="72"/>
      <x:c r="B67" s="72"/>
      <x:c r="C67" s="72"/>
      <x:c r="D67" s="72"/>
      <x:c r="E67" s="72"/>
      <x:c r="F67" s="76"/>
      <x:c r="G67" s="74"/>
      <x:c r="H67" s="72"/>
      <x:c r="I67" s="72"/>
      <x:c r="J67" s="73"/>
      <x:c r="K67" s="73"/>
      <x:c r="L67" s="73"/>
      <x:c r="M67" s="72"/>
    </x:row>
    <x:row r="68">
      <x:c r="A68" s="72"/>
      <x:c r="B68" s="72"/>
      <x:c r="C68" s="72"/>
      <x:c r="D68" s="72"/>
      <x:c r="E68" s="72"/>
      <x:c r="F68" s="76"/>
      <x:c r="G68" s="74"/>
      <x:c r="H68" s="72"/>
      <x:c r="I68" s="72"/>
      <x:c r="J68" s="73"/>
      <x:c r="K68" s="73"/>
      <x:c r="L68" s="73"/>
      <x:c r="M68" s="72"/>
    </x:row>
    <x:row r="69">
      <x:c r="A69" s="72"/>
      <x:c r="B69" s="72"/>
      <x:c r="C69" s="72"/>
      <x:c r="D69" s="72"/>
      <x:c r="E69" s="72"/>
      <x:c r="F69" s="76"/>
      <x:c r="G69" s="74"/>
      <x:c r="H69" s="72"/>
      <x:c r="I69" s="72"/>
      <x:c r="J69" s="73"/>
      <x:c r="K69" s="73"/>
      <x:c r="L69" s="73"/>
      <x:c r="M69" s="72"/>
    </x:row>
    <x:row r="70">
      <x:c r="A70" s="72"/>
      <x:c r="B70" s="72"/>
      <x:c r="C70" s="72"/>
      <x:c r="D70" s="72"/>
      <x:c r="E70" s="72"/>
      <x:c r="F70" s="76"/>
      <x:c r="G70" s="74"/>
      <x:c r="H70" s="72"/>
      <x:c r="I70" s="72"/>
      <x:c r="J70" s="73"/>
      <x:c r="K70" s="73"/>
      <x:c r="L70" s="73"/>
      <x:c r="M70" s="72"/>
    </x:row>
    <x:row r="71">
      <x:c r="A71" s="72"/>
      <x:c r="B71" s="72"/>
      <x:c r="C71" s="72"/>
      <x:c r="D71" s="72"/>
      <x:c r="E71" s="72"/>
      <x:c r="F71" s="76"/>
      <x:c r="G71" s="74"/>
      <x:c r="H71" s="72"/>
      <x:c r="I71" s="72"/>
      <x:c r="J71" s="73"/>
      <x:c r="K71" s="73"/>
      <x:c r="L71" s="73"/>
      <x:c r="M71" s="72"/>
    </x:row>
    <x:row r="72">
      <x:c r="A72" s="72"/>
      <x:c r="B72" s="72"/>
      <x:c r="C72" s="72"/>
      <x:c r="D72" s="72"/>
      <x:c r="E72" s="72"/>
      <x:c r="F72" s="76"/>
      <x:c r="G72" s="74"/>
      <x:c r="H72" s="72"/>
      <x:c r="I72" s="72"/>
      <x:c r="J72" s="73"/>
      <x:c r="K72" s="73"/>
      <x:c r="L72" s="73"/>
      <x:c r="M72" s="72"/>
    </x:row>
    <x:row r="73">
      <x:c r="A73" s="72"/>
      <x:c r="B73" s="72"/>
      <x:c r="C73" s="72"/>
      <x:c r="D73" s="72"/>
      <x:c r="E73" s="72"/>
      <x:c r="F73" s="76"/>
      <x:c r="G73" s="74"/>
      <x:c r="H73" s="72"/>
      <x:c r="I73" s="72"/>
      <x:c r="J73" s="73"/>
      <x:c r="K73" s="73"/>
      <x:c r="L73" s="73"/>
      <x:c r="M73" s="72"/>
    </x:row>
    <x:row r="74">
      <x:c r="A74" s="72"/>
      <x:c r="B74" s="72"/>
      <x:c r="C74" s="72"/>
      <x:c r="D74" s="72"/>
      <x:c r="E74" s="72"/>
      <x:c r="F74" s="76"/>
      <x:c r="G74" s="74"/>
      <x:c r="H74" s="72"/>
      <x:c r="I74" s="72"/>
      <x:c r="J74" s="73"/>
      <x:c r="K74" s="73"/>
      <x:c r="L74" s="73"/>
      <x:c r="M74" s="72"/>
    </x:row>
    <x:row r="75">
      <x:c r="A75" s="72"/>
      <x:c r="B75" s="72"/>
      <x:c r="C75" s="72"/>
      <x:c r="D75" s="72"/>
      <x:c r="E75" s="72"/>
      <x:c r="F75" s="76"/>
      <x:c r="G75" s="74"/>
      <x:c r="H75" s="72"/>
      <x:c r="I75" s="72"/>
      <x:c r="J75" s="73"/>
      <x:c r="K75" s="73"/>
      <x:c r="L75" s="73"/>
      <x:c r="M75" s="72"/>
    </x:row>
    <x:row r="76">
      <x:c r="A76" s="72"/>
      <x:c r="B76" s="72"/>
      <x:c r="C76" s="72"/>
      <x:c r="D76" s="72"/>
      <x:c r="E76" s="72"/>
      <x:c r="F76" s="76"/>
      <x:c r="G76" s="74"/>
      <x:c r="H76" s="72"/>
      <x:c r="I76" s="72"/>
      <x:c r="J76" s="73"/>
      <x:c r="K76" s="73"/>
      <x:c r="L76" s="73"/>
      <x:c r="M76" s="72"/>
    </x:row>
    <x:row r="77">
      <x:c r="A77" s="72"/>
      <x:c r="B77" s="72"/>
      <x:c r="C77" s="72"/>
      <x:c r="D77" s="72"/>
      <x:c r="E77" s="72"/>
      <x:c r="F77" s="76"/>
      <x:c r="G77" s="74"/>
      <x:c r="H77" s="72"/>
      <x:c r="I77" s="72"/>
      <x:c r="J77" s="73"/>
      <x:c r="K77" s="73"/>
      <x:c r="L77" s="73"/>
      <x:c r="M77" s="72"/>
    </x:row>
    <x:row r="78">
      <x:c r="A78" s="72"/>
      <x:c r="B78" s="72"/>
      <x:c r="C78" s="72"/>
      <x:c r="D78" s="72"/>
      <x:c r="E78" s="72"/>
      <x:c r="F78" s="76"/>
      <x:c r="G78" s="74"/>
      <x:c r="H78" s="72"/>
      <x:c r="I78" s="72"/>
      <x:c r="J78" s="73"/>
      <x:c r="K78" s="73"/>
      <x:c r="L78" s="73"/>
      <x:c r="M78" s="72"/>
    </x:row>
    <x:row r="79">
      <x:c r="A79" s="72"/>
      <x:c r="B79" s="72"/>
      <x:c r="C79" s="72"/>
      <x:c r="D79" s="72"/>
      <x:c r="E79" s="72"/>
      <x:c r="F79" s="76"/>
      <x:c r="G79" s="74"/>
      <x:c r="H79" s="72"/>
      <x:c r="I79" s="72"/>
      <x:c r="J79" s="73"/>
      <x:c r="K79" s="73"/>
      <x:c r="L79" s="73"/>
      <x:c r="M79" s="72"/>
    </x:row>
    <x:row r="80">
      <x:c r="A80" s="72"/>
      <x:c r="B80" s="72"/>
      <x:c r="C80" s="72"/>
      <x:c r="D80" s="72"/>
      <x:c r="E80" s="72"/>
      <x:c r="F80" s="76"/>
      <x:c r="G80" s="74"/>
      <x:c r="H80" s="72"/>
      <x:c r="I80" s="72"/>
      <x:c r="J80" s="73"/>
      <x:c r="K80" s="73"/>
      <x:c r="L80" s="73"/>
      <x:c r="M80" s="72"/>
    </x:row>
    <x:row r="81">
      <x:c r="A81" s="72"/>
      <x:c r="B81" s="72"/>
      <x:c r="C81" s="72"/>
      <x:c r="D81" s="72"/>
      <x:c r="E81" s="72"/>
      <x:c r="F81" s="76"/>
      <x:c r="G81" s="74"/>
      <x:c r="H81" s="72"/>
      <x:c r="I81" s="72"/>
      <x:c r="J81" s="73"/>
      <x:c r="K81" s="73"/>
      <x:c r="L81" s="73"/>
      <x:c r="M81" s="72"/>
    </x:row>
    <x:row r="82">
      <x:c r="A82" s="72"/>
      <x:c r="B82" s="72"/>
      <x:c r="C82" s="72"/>
      <x:c r="D82" s="72"/>
      <x:c r="E82" s="72"/>
      <x:c r="F82" s="76"/>
      <x:c r="G82" s="74"/>
      <x:c r="H82" s="72"/>
      <x:c r="I82" s="72"/>
      <x:c r="J82" s="73"/>
      <x:c r="K82" s="73"/>
      <x:c r="L82" s="73"/>
      <x:c r="M82" s="72"/>
    </x:row>
    <x:row r="83">
      <x:c r="A83" s="72"/>
      <x:c r="B83" s="72"/>
      <x:c r="C83" s="72"/>
      <x:c r="D83" s="72"/>
      <x:c r="E83" s="72"/>
      <x:c r="F83" s="76"/>
      <x:c r="G83" s="74"/>
      <x:c r="H83" s="72"/>
      <x:c r="I83" s="72"/>
      <x:c r="J83" s="73"/>
      <x:c r="K83" s="73"/>
      <x:c r="L83" s="73"/>
      <x:c r="M83" s="72"/>
    </x:row>
    <x:row r="84">
      <x:c r="A84" s="72"/>
      <x:c r="B84" s="72"/>
      <x:c r="C84" s="72"/>
      <x:c r="D84" s="72"/>
      <x:c r="E84" s="72"/>
      <x:c r="F84" s="76"/>
      <x:c r="G84" s="74"/>
      <x:c r="H84" s="72"/>
      <x:c r="I84" s="72"/>
      <x:c r="J84" s="73"/>
      <x:c r="K84" s="73"/>
      <x:c r="L84" s="73"/>
      <x:c r="M84" s="72"/>
    </x:row>
    <x:row r="85">
      <x:c r="A85" s="72"/>
      <x:c r="B85" s="72"/>
      <x:c r="C85" s="72"/>
      <x:c r="D85" s="72"/>
      <x:c r="E85" s="72"/>
      <x:c r="F85" s="76"/>
      <x:c r="G85" s="74"/>
      <x:c r="H85" s="72"/>
      <x:c r="I85" s="72"/>
      <x:c r="J85" s="73"/>
      <x:c r="K85" s="73"/>
      <x:c r="L85" s="73"/>
      <x:c r="M85" s="72"/>
    </x:row>
    <x:row r="86">
      <x:c r="A86" s="72"/>
      <x:c r="B86" s="72"/>
      <x:c r="C86" s="72"/>
      <x:c r="D86" s="72"/>
      <x:c r="E86" s="72"/>
      <x:c r="F86" s="76"/>
      <x:c r="G86" s="74"/>
      <x:c r="H86" s="72"/>
      <x:c r="I86" s="72"/>
      <x:c r="J86" s="73"/>
      <x:c r="K86" s="73"/>
      <x:c r="L86" s="73"/>
      <x:c r="M86" s="72"/>
    </x:row>
    <x:row r="87">
      <x:c r="A87" s="72"/>
      <x:c r="B87" s="72"/>
      <x:c r="C87" s="72"/>
      <x:c r="D87" s="72"/>
      <x:c r="E87" s="72"/>
      <x:c r="F87" s="76"/>
      <x:c r="G87" s="74"/>
      <x:c r="H87" s="72"/>
      <x:c r="I87" s="72"/>
      <x:c r="J87" s="73"/>
      <x:c r="K87" s="73"/>
      <x:c r="L87" s="73"/>
      <x:c r="M87" s="72"/>
    </x:row>
    <x:row r="88">
      <x:c r="A88" s="72"/>
      <x:c r="B88" s="72"/>
      <x:c r="C88" s="72"/>
      <x:c r="D88" s="72"/>
      <x:c r="E88" s="72"/>
      <x:c r="F88" s="76"/>
      <x:c r="G88" s="74"/>
      <x:c r="H88" s="72"/>
      <x:c r="I88" s="72"/>
      <x:c r="J88" s="73"/>
      <x:c r="K88" s="73"/>
      <x:c r="L88" s="73"/>
      <x:c r="M88" s="72"/>
    </x:row>
    <x:row r="89">
      <x:c r="A89" s="72"/>
      <x:c r="B89" s="72"/>
      <x:c r="C89" s="72"/>
      <x:c r="D89" s="72"/>
      <x:c r="E89" s="72"/>
      <x:c r="F89" s="76"/>
      <x:c r="G89" s="74"/>
      <x:c r="H89" s="72"/>
      <x:c r="I89" s="72"/>
      <x:c r="J89" s="73"/>
      <x:c r="K89" s="73"/>
      <x:c r="L89" s="73"/>
      <x:c r="M89" s="72"/>
    </x:row>
    <x:row r="90">
      <x:c r="A90" s="72"/>
      <x:c r="B90" s="72"/>
      <x:c r="C90" s="72"/>
      <x:c r="D90" s="72"/>
      <x:c r="E90" s="72"/>
      <x:c r="F90" s="76"/>
      <x:c r="G90" s="74"/>
      <x:c r="H90" s="72"/>
      <x:c r="I90" s="72"/>
      <x:c r="J90" s="73"/>
      <x:c r="K90" s="73"/>
      <x:c r="L90" s="73"/>
      <x:c r="M90" s="72"/>
    </x:row>
    <x:row r="91">
      <x:c r="A91" s="72"/>
      <x:c r="B91" s="72"/>
      <x:c r="C91" s="72"/>
      <x:c r="D91" s="72"/>
      <x:c r="E91" s="72"/>
      <x:c r="F91" s="76"/>
      <x:c r="G91" s="74"/>
      <x:c r="H91" s="72"/>
      <x:c r="I91" s="72"/>
      <x:c r="J91" s="73"/>
      <x:c r="K91" s="73"/>
      <x:c r="L91" s="73"/>
      <x:c r="M91" s="72"/>
    </x:row>
    <x:row r="92">
      <x:c r="A92" s="72"/>
      <x:c r="B92" s="72"/>
      <x:c r="C92" s="72"/>
      <x:c r="D92" s="72"/>
      <x:c r="E92" s="72"/>
      <x:c r="F92" s="76"/>
      <x:c r="G92" s="74"/>
      <x:c r="H92" s="72"/>
      <x:c r="I92" s="72"/>
      <x:c r="J92" s="73"/>
      <x:c r="K92" s="73"/>
      <x:c r="L92" s="73"/>
      <x:c r="M92" s="72"/>
    </x:row>
    <x:row r="93">
      <x:c r="A93" s="72"/>
      <x:c r="B93" s="72"/>
      <x:c r="C93" s="72"/>
      <x:c r="D93" s="72"/>
      <x:c r="E93" s="72"/>
      <x:c r="F93" s="76"/>
      <x:c r="G93" s="74"/>
      <x:c r="H93" s="72"/>
      <x:c r="I93" s="72"/>
      <x:c r="J93" s="73"/>
      <x:c r="K93" s="73"/>
      <x:c r="L93" s="73"/>
      <x:c r="M93" s="72"/>
    </x:row>
    <x:row r="94">
      <x:c r="A94" s="72"/>
      <x:c r="B94" s="72"/>
      <x:c r="C94" s="72"/>
      <x:c r="D94" s="72"/>
      <x:c r="E94" s="72"/>
      <x:c r="F94" s="76"/>
      <x:c r="G94" s="74"/>
      <x:c r="H94" s="72"/>
      <x:c r="I94" s="72"/>
      <x:c r="J94" s="73"/>
      <x:c r="K94" s="73"/>
      <x:c r="L94" s="73"/>
      <x:c r="M94" s="72"/>
    </x:row>
    <x:row r="95">
      <x:c r="A95" s="72"/>
      <x:c r="B95" s="72"/>
      <x:c r="C95" s="72"/>
      <x:c r="D95" s="72"/>
      <x:c r="E95" s="72"/>
      <x:c r="F95" s="76"/>
      <x:c r="G95" s="74"/>
      <x:c r="H95" s="72"/>
      <x:c r="I95" s="72"/>
      <x:c r="J95" s="73"/>
      <x:c r="K95" s="73"/>
      <x:c r="L95" s="73"/>
      <x:c r="M95" s="72"/>
    </x:row>
    <x:row r="96">
      <x:c r="A96" s="72"/>
      <x:c r="B96" s="72"/>
      <x:c r="C96" s="72"/>
      <x:c r="D96" s="72"/>
      <x:c r="E96" s="72"/>
      <x:c r="F96" s="76"/>
      <x:c r="G96" s="74"/>
      <x:c r="H96" s="72"/>
      <x:c r="I96" s="72"/>
      <x:c r="J96" s="73"/>
      <x:c r="K96" s="73"/>
      <x:c r="L96" s="73"/>
      <x:c r="M96" s="72"/>
    </x:row>
    <x:row r="97">
      <x:c r="A97" s="72"/>
      <x:c r="B97" s="72"/>
      <x:c r="C97" s="72"/>
      <x:c r="D97" s="72"/>
      <x:c r="E97" s="72"/>
      <x:c r="F97" s="76"/>
      <x:c r="G97" s="74"/>
      <x:c r="H97" s="72"/>
      <x:c r="I97" s="72"/>
      <x:c r="J97" s="73"/>
      <x:c r="K97" s="73"/>
      <x:c r="L97" s="73"/>
      <x:c r="M97" s="72"/>
    </x:row>
    <x:row r="98">
      <x:c r="A98" s="72"/>
      <x:c r="B98" s="72"/>
      <x:c r="C98" s="72"/>
      <x:c r="D98" s="72"/>
      <x:c r="E98" s="72"/>
      <x:c r="F98" s="76"/>
      <x:c r="G98" s="74"/>
      <x:c r="H98" s="72"/>
      <x:c r="I98" s="72"/>
      <x:c r="J98" s="73"/>
      <x:c r="K98" s="73"/>
      <x:c r="L98" s="73"/>
      <x:c r="M98" s="72"/>
    </x:row>
    <x:row r="99">
      <x:c r="A99" s="72"/>
      <x:c r="B99" s="72"/>
      <x:c r="C99" s="72"/>
      <x:c r="D99" s="72"/>
      <x:c r="E99" s="72"/>
      <x:c r="F99" s="76"/>
      <x:c r="G99" s="74"/>
      <x:c r="H99" s="72"/>
      <x:c r="I99" s="72"/>
      <x:c r="J99" s="73"/>
      <x:c r="K99" s="73"/>
      <x:c r="L99" s="73"/>
      <x:c r="M99" s="72"/>
    </x:row>
    <x:row r="100">
      <x:c r="A100" s="72"/>
      <x:c r="B100" s="72"/>
      <x:c r="C100" s="72"/>
      <x:c r="D100" s="72"/>
      <x:c r="E100" s="72"/>
      <x:c r="F100" s="76"/>
      <x:c r="G100" s="74"/>
      <x:c r="H100" s="72"/>
      <x:c r="I100" s="72"/>
      <x:c r="J100" s="73"/>
      <x:c r="K100" s="73"/>
      <x:c r="L100" s="73"/>
      <x:c r="M100" s="72"/>
    </x:row>
    <x:row r="101">
      <x:c r="A101" s="72"/>
      <x:c r="B101" s="72"/>
      <x:c r="C101" s="72"/>
      <x:c r="D101" s="72"/>
      <x:c r="E101" s="72"/>
      <x:c r="F101" s="76"/>
      <x:c r="G101" s="74"/>
      <x:c r="H101" s="72"/>
      <x:c r="I101" s="72"/>
      <x:c r="J101" s="73"/>
      <x:c r="K101" s="73"/>
      <x:c r="L101" s="73"/>
      <x:c r="M101" s="72"/>
    </x:row>
    <x:row r="102">
      <x:c r="A102" s="72"/>
      <x:c r="B102" s="72"/>
      <x:c r="C102" s="72"/>
      <x:c r="D102" s="72"/>
      <x:c r="E102" s="72"/>
      <x:c r="F102" s="76"/>
      <x:c r="G102" s="74"/>
      <x:c r="H102" s="72"/>
      <x:c r="I102" s="72"/>
      <x:c r="J102" s="73"/>
      <x:c r="K102" s="73"/>
      <x:c r="L102" s="73"/>
      <x:c r="M102" s="72"/>
    </x:row>
    <x:row r="103">
      <x:c r="A103" s="72"/>
      <x:c r="B103" s="72"/>
      <x:c r="C103" s="72"/>
      <x:c r="D103" s="72"/>
      <x:c r="E103" s="72"/>
      <x:c r="F103" s="76"/>
      <x:c r="G103" s="74"/>
      <x:c r="H103" s="72"/>
      <x:c r="I103" s="72"/>
      <x:c r="J103" s="73"/>
      <x:c r="K103" s="73"/>
      <x:c r="L103" s="73"/>
      <x:c r="M103" s="72"/>
    </x:row>
    <x:row r="104">
      <x:c r="A104" s="72"/>
      <x:c r="B104" s="72"/>
      <x:c r="C104" s="72"/>
      <x:c r="D104" s="72"/>
      <x:c r="E104" s="72"/>
      <x:c r="F104" s="76"/>
      <x:c r="G104" s="74"/>
      <x:c r="H104" s="72"/>
      <x:c r="I104" s="72"/>
      <x:c r="J104" s="73"/>
      <x:c r="K104" s="73"/>
      <x:c r="L104" s="73"/>
      <x:c r="M104" s="72"/>
    </x:row>
    <x:row r="105">
      <x:c r="A105" s="72"/>
      <x:c r="B105" s="72"/>
      <x:c r="C105" s="72"/>
      <x:c r="D105" s="72"/>
      <x:c r="E105" s="72"/>
      <x:c r="F105" s="76"/>
      <x:c r="G105" s="74"/>
      <x:c r="H105" s="72"/>
      <x:c r="I105" s="72"/>
      <x:c r="J105" s="73"/>
      <x:c r="K105" s="73"/>
      <x:c r="L105" s="73"/>
      <x:c r="M105" s="72"/>
    </x:row>
    <x:row r="106">
      <x:c r="A106" s="72"/>
      <x:c r="B106" s="72"/>
      <x:c r="C106" s="72"/>
      <x:c r="D106" s="72"/>
      <x:c r="E106" s="72"/>
      <x:c r="F106" s="76"/>
      <x:c r="G106" s="74"/>
      <x:c r="H106" s="72"/>
      <x:c r="I106" s="72"/>
      <x:c r="J106" s="73"/>
      <x:c r="K106" s="73"/>
      <x:c r="L106" s="73"/>
      <x:c r="M106" s="72"/>
    </x:row>
    <x:row r="107">
      <x:c r="A107" s="72"/>
      <x:c r="B107" s="72"/>
      <x:c r="C107" s="72"/>
      <x:c r="D107" s="72"/>
      <x:c r="E107" s="72"/>
      <x:c r="F107" s="76"/>
      <x:c r="G107" s="74"/>
      <x:c r="H107" s="72"/>
      <x:c r="I107" s="72"/>
      <x:c r="J107" s="73"/>
      <x:c r="K107" s="73"/>
      <x:c r="L107" s="73"/>
      <x:c r="M107" s="72"/>
    </x:row>
    <x:row r="108">
      <x:c r="A108" s="72"/>
      <x:c r="B108" s="72"/>
      <x:c r="C108" s="72"/>
      <x:c r="D108" s="72"/>
      <x:c r="E108" s="72"/>
      <x:c r="F108" s="76"/>
      <x:c r="G108" s="74"/>
      <x:c r="H108" s="72"/>
      <x:c r="I108" s="72"/>
      <x:c r="J108" s="73"/>
      <x:c r="K108" s="73"/>
      <x:c r="L108" s="73"/>
      <x:c r="M108" s="72"/>
    </x:row>
    <x:row r="109">
      <x:c r="A109" s="72"/>
      <x:c r="B109" s="72"/>
      <x:c r="C109" s="72"/>
      <x:c r="D109" s="72"/>
      <x:c r="E109" s="72"/>
      <x:c r="F109" s="76"/>
      <x:c r="G109" s="74"/>
      <x:c r="H109" s="72"/>
      <x:c r="I109" s="72"/>
      <x:c r="J109" s="73"/>
      <x:c r="K109" s="73"/>
      <x:c r="L109" s="73"/>
      <x:c r="M109" s="72"/>
    </x:row>
    <x:row r="110">
      <x:c r="A110" s="72"/>
      <x:c r="B110" s="72"/>
      <x:c r="C110" s="72"/>
      <x:c r="D110" s="72"/>
      <x:c r="E110" s="72"/>
      <x:c r="F110" s="76"/>
      <x:c r="G110" s="74"/>
      <x:c r="H110" s="72"/>
      <x:c r="I110" s="72"/>
      <x:c r="J110" s="73"/>
      <x:c r="K110" s="73"/>
      <x:c r="L110" s="73"/>
      <x:c r="M110" s="72"/>
    </x:row>
    <x:row r="111">
      <x:c r="A111" s="72"/>
      <x:c r="B111" s="72"/>
      <x:c r="C111" s="72"/>
      <x:c r="D111" s="72"/>
      <x:c r="E111" s="72"/>
      <x:c r="F111" s="76"/>
      <x:c r="G111" s="74"/>
      <x:c r="H111" s="72"/>
      <x:c r="I111" s="72"/>
      <x:c r="J111" s="73"/>
      <x:c r="K111" s="73"/>
      <x:c r="L111" s="73"/>
      <x:c r="M111" s="72"/>
    </x:row>
    <x:row r="112">
      <x:c r="A112" s="72"/>
      <x:c r="B112" s="72"/>
      <x:c r="C112" s="72"/>
      <x:c r="D112" s="72"/>
      <x:c r="E112" s="72"/>
      <x:c r="F112" s="76"/>
      <x:c r="G112" s="74"/>
      <x:c r="H112" s="72"/>
      <x:c r="I112" s="72"/>
      <x:c r="J112" s="73"/>
      <x:c r="K112" s="73"/>
      <x:c r="L112" s="73"/>
      <x:c r="M112" s="72"/>
    </x:row>
    <x:row r="113">
      <x:c r="A113" s="72"/>
      <x:c r="B113" s="72"/>
      <x:c r="C113" s="72"/>
      <x:c r="D113" s="72"/>
      <x:c r="E113" s="72"/>
      <x:c r="F113" s="76"/>
      <x:c r="G113" s="74"/>
      <x:c r="H113" s="72"/>
      <x:c r="I113" s="72"/>
      <x:c r="J113" s="73"/>
      <x:c r="K113" s="73"/>
      <x:c r="L113" s="73"/>
      <x:c r="M113" s="72"/>
    </x:row>
    <x:row r="114">
      <x:c r="A114" s="72"/>
      <x:c r="B114" s="72"/>
      <x:c r="C114" s="72"/>
      <x:c r="D114" s="72"/>
      <x:c r="E114" s="72"/>
      <x:c r="F114" s="76"/>
      <x:c r="G114" s="74"/>
      <x:c r="H114" s="72"/>
      <x:c r="I114" s="72"/>
      <x:c r="J114" s="73"/>
      <x:c r="K114" s="73"/>
      <x:c r="L114" s="73"/>
      <x:c r="M114" s="72"/>
    </x:row>
    <x:row r="115">
      <x:c r="A115" s="72"/>
      <x:c r="B115" s="72"/>
      <x:c r="C115" s="72"/>
      <x:c r="D115" s="72"/>
      <x:c r="E115" s="72"/>
      <x:c r="F115" s="76"/>
      <x:c r="G115" s="74"/>
      <x:c r="H115" s="72"/>
      <x:c r="I115" s="72"/>
      <x:c r="J115" s="73"/>
      <x:c r="K115" s="73"/>
      <x:c r="L115" s="73"/>
      <x:c r="M115" s="72"/>
    </x:row>
    <x:row r="116">
      <x:c r="A116" s="72"/>
      <x:c r="B116" s="72"/>
      <x:c r="C116" s="72"/>
      <x:c r="D116" s="72"/>
      <x:c r="E116" s="72"/>
      <x:c r="F116" s="76"/>
      <x:c r="G116" s="74"/>
      <x:c r="H116" s="72"/>
      <x:c r="I116" s="72"/>
      <x:c r="J116" s="73"/>
      <x:c r="K116" s="73"/>
      <x:c r="L116" s="73"/>
      <x:c r="M116" s="72"/>
    </x:row>
    <x:row r="117">
      <x:c r="A117" s="72"/>
      <x:c r="B117" s="72"/>
      <x:c r="C117" s="72"/>
      <x:c r="D117" s="72"/>
      <x:c r="E117" s="72"/>
      <x:c r="F117" s="76"/>
      <x:c r="G117" s="74"/>
      <x:c r="H117" s="72"/>
      <x:c r="I117" s="72"/>
      <x:c r="J117" s="73"/>
      <x:c r="K117" s="73"/>
      <x:c r="L117" s="73"/>
      <x:c r="M117" s="72"/>
    </x:row>
    <x:row r="118">
      <x:c r="A118" s="72"/>
      <x:c r="B118" s="72"/>
      <x:c r="C118" s="72"/>
      <x:c r="D118" s="72"/>
      <x:c r="E118" s="72"/>
      <x:c r="F118" s="76"/>
      <x:c r="G118" s="74"/>
      <x:c r="H118" s="72"/>
      <x:c r="I118" s="72"/>
      <x:c r="J118" s="73"/>
      <x:c r="K118" s="73"/>
      <x:c r="L118" s="73"/>
      <x:c r="M118" s="72"/>
    </x:row>
    <x:row r="119">
      <x:c r="A119" s="72"/>
      <x:c r="B119" s="72"/>
      <x:c r="C119" s="72"/>
      <x:c r="D119" s="72"/>
      <x:c r="E119" s="72"/>
      <x:c r="F119" s="76"/>
      <x:c r="G119" s="74"/>
      <x:c r="H119" s="72"/>
      <x:c r="I119" s="72"/>
      <x:c r="J119" s="73"/>
      <x:c r="K119" s="73"/>
      <x:c r="L119" s="73"/>
      <x:c r="M119" s="72"/>
    </x:row>
    <x:row r="120">
      <x:c r="A120" s="72"/>
      <x:c r="B120" s="72"/>
      <x:c r="C120" s="72"/>
      <x:c r="D120" s="72"/>
      <x:c r="E120" s="72"/>
      <x:c r="F120" s="76"/>
      <x:c r="G120" s="74"/>
      <x:c r="H120" s="72"/>
      <x:c r="I120" s="72"/>
      <x:c r="J120" s="73"/>
      <x:c r="K120" s="73"/>
      <x:c r="L120" s="73"/>
      <x:c r="M120" s="72"/>
    </x:row>
    <x:row r="121">
      <x:c r="A121" s="72"/>
      <x:c r="B121" s="72"/>
      <x:c r="C121" s="72"/>
      <x:c r="D121" s="72"/>
      <x:c r="E121" s="72"/>
      <x:c r="F121" s="76"/>
      <x:c r="G121" s="74"/>
      <x:c r="H121" s="72"/>
      <x:c r="I121" s="72"/>
      <x:c r="J121" s="73"/>
      <x:c r="K121" s="73"/>
      <x:c r="L121" s="73"/>
      <x:c r="M121" s="72"/>
    </x:row>
    <x:row r="122">
      <x:c r="A122" s="72"/>
      <x:c r="B122" s="72"/>
      <x:c r="C122" s="72"/>
      <x:c r="D122" s="72"/>
      <x:c r="E122" s="72"/>
      <x:c r="F122" s="76"/>
      <x:c r="G122" s="74"/>
      <x:c r="H122" s="72"/>
      <x:c r="I122" s="72"/>
      <x:c r="J122" s="73"/>
      <x:c r="K122" s="73"/>
      <x:c r="L122" s="73"/>
      <x:c r="M122" s="72"/>
    </x:row>
    <x:row r="123">
      <x:c r="A123" s="72"/>
      <x:c r="B123" s="72"/>
      <x:c r="C123" s="72"/>
      <x:c r="D123" s="72"/>
      <x:c r="E123" s="72"/>
      <x:c r="F123" s="76"/>
      <x:c r="G123" s="74"/>
      <x:c r="H123" s="72"/>
      <x:c r="I123" s="72"/>
      <x:c r="J123" s="73"/>
      <x:c r="K123" s="73"/>
      <x:c r="L123" s="73"/>
      <x:c r="M123" s="72"/>
    </x:row>
    <x:row r="124">
      <x:c r="A124" s="72"/>
      <x:c r="B124" s="72"/>
      <x:c r="C124" s="72"/>
      <x:c r="D124" s="72"/>
      <x:c r="E124" s="72"/>
      <x:c r="F124" s="76"/>
      <x:c r="G124" s="74"/>
      <x:c r="H124" s="72"/>
      <x:c r="I124" s="72"/>
      <x:c r="J124" s="73"/>
      <x:c r="K124" s="73"/>
      <x:c r="L124" s="73"/>
      <x:c r="M124" s="72"/>
    </x:row>
    <x:row r="125">
      <x:c r="A125" s="72"/>
      <x:c r="B125" s="72"/>
      <x:c r="C125" s="72"/>
      <x:c r="D125" s="72"/>
      <x:c r="E125" s="72"/>
      <x:c r="F125" s="76"/>
      <x:c r="G125" s="74"/>
      <x:c r="H125" s="72"/>
      <x:c r="I125" s="72"/>
      <x:c r="J125" s="73"/>
      <x:c r="K125" s="73"/>
      <x:c r="L125" s="73"/>
      <x:c r="M125" s="72"/>
    </x:row>
    <x:row r="126">
      <x:c r="A126" s="72"/>
      <x:c r="B126" s="72"/>
      <x:c r="C126" s="72"/>
      <x:c r="D126" s="72"/>
      <x:c r="E126" s="72"/>
      <x:c r="F126" s="76"/>
      <x:c r="G126" s="74"/>
      <x:c r="H126" s="72"/>
      <x:c r="I126" s="72"/>
      <x:c r="J126" s="73"/>
      <x:c r="K126" s="73"/>
      <x:c r="L126" s="73"/>
      <x:c r="M126" s="72"/>
    </x:row>
    <x:row r="127">
      <x:c r="A127" s="72"/>
      <x:c r="B127" s="72"/>
      <x:c r="C127" s="72"/>
      <x:c r="D127" s="72"/>
      <x:c r="E127" s="72"/>
      <x:c r="F127" s="76"/>
      <x:c r="G127" s="74"/>
      <x:c r="H127" s="72"/>
      <x:c r="I127" s="72"/>
      <x:c r="J127" s="73"/>
      <x:c r="K127" s="73"/>
      <x:c r="L127" s="73"/>
      <x:c r="M127" s="72"/>
    </x:row>
    <x:row r="128">
      <x:c r="A128" s="72"/>
      <x:c r="B128" s="72"/>
      <x:c r="C128" s="72"/>
      <x:c r="D128" s="72"/>
      <x:c r="E128" s="72"/>
      <x:c r="F128" s="76"/>
      <x:c r="G128" s="74"/>
      <x:c r="H128" s="72"/>
      <x:c r="I128" s="72"/>
      <x:c r="J128" s="73"/>
      <x:c r="K128" s="73"/>
      <x:c r="L128" s="73"/>
      <x:c r="M128" s="72"/>
    </x:row>
    <x:row r="129">
      <x:c r="A129" s="72"/>
      <x:c r="B129" s="72"/>
      <x:c r="C129" s="72"/>
      <x:c r="D129" s="72"/>
      <x:c r="E129" s="72"/>
      <x:c r="F129" s="76"/>
      <x:c r="G129" s="74"/>
      <x:c r="H129" s="72"/>
      <x:c r="I129" s="72"/>
      <x:c r="J129" s="73"/>
      <x:c r="K129" s="73"/>
      <x:c r="L129" s="73"/>
      <x:c r="M129" s="72"/>
    </x:row>
    <x:row r="130">
      <x:c r="A130" s="72"/>
      <x:c r="B130" s="72"/>
      <x:c r="C130" s="72"/>
      <x:c r="D130" s="72"/>
      <x:c r="E130" s="72"/>
      <x:c r="F130" s="76"/>
      <x:c r="G130" s="74"/>
      <x:c r="H130" s="72"/>
      <x:c r="I130" s="72"/>
      <x:c r="J130" s="73"/>
      <x:c r="K130" s="73"/>
      <x:c r="L130" s="73"/>
      <x:c r="M130" s="72"/>
    </x:row>
    <x:row r="131">
      <x:c r="A131" s="72"/>
      <x:c r="B131" s="72"/>
      <x:c r="C131" s="72"/>
      <x:c r="D131" s="72"/>
      <x:c r="E131" s="72"/>
      <x:c r="F131" s="76"/>
      <x:c r="G131" s="74"/>
      <x:c r="H131" s="72"/>
      <x:c r="I131" s="72"/>
      <x:c r="J131" s="73"/>
      <x:c r="K131" s="73"/>
      <x:c r="L131" s="73"/>
      <x:c r="M131" s="72"/>
    </x:row>
    <x:row r="132">
      <x:c r="A132" s="72"/>
      <x:c r="B132" s="72"/>
      <x:c r="C132" s="72"/>
      <x:c r="D132" s="72"/>
      <x:c r="E132" s="72"/>
      <x:c r="F132" s="76"/>
      <x:c r="G132" s="74"/>
      <x:c r="H132" s="72"/>
      <x:c r="I132" s="72"/>
      <x:c r="J132" s="73"/>
      <x:c r="K132" s="73"/>
      <x:c r="L132" s="73"/>
      <x:c r="M132" s="72"/>
    </x:row>
    <x:row r="133">
      <x:c r="A133" s="72"/>
      <x:c r="B133" s="72"/>
      <x:c r="C133" s="72"/>
      <x:c r="D133" s="72"/>
      <x:c r="E133" s="72"/>
      <x:c r="F133" s="76"/>
      <x:c r="G133" s="74"/>
      <x:c r="H133" s="72"/>
      <x:c r="I133" s="72"/>
      <x:c r="J133" s="73"/>
      <x:c r="K133" s="73"/>
      <x:c r="L133" s="73"/>
      <x:c r="M133" s="72"/>
    </x:row>
    <x:row r="134">
      <x:c r="A134" s="72"/>
      <x:c r="B134" s="72"/>
      <x:c r="C134" s="72"/>
      <x:c r="D134" s="72"/>
      <x:c r="E134" s="72"/>
      <x:c r="F134" s="76"/>
      <x:c r="G134" s="74"/>
      <x:c r="H134" s="72"/>
      <x:c r="I134" s="72"/>
      <x:c r="J134" s="73"/>
      <x:c r="K134" s="73"/>
      <x:c r="L134" s="73"/>
      <x:c r="M134" s="72"/>
    </x:row>
    <x:row r="135">
      <x:c r="A135" s="72"/>
      <x:c r="B135" s="72"/>
      <x:c r="C135" s="72"/>
      <x:c r="D135" s="72"/>
      <x:c r="E135" s="72"/>
      <x:c r="F135" s="76"/>
      <x:c r="G135" s="74"/>
      <x:c r="H135" s="72"/>
      <x:c r="I135" s="72"/>
      <x:c r="J135" s="73"/>
      <x:c r="K135" s="73"/>
      <x:c r="L135" s="73"/>
      <x:c r="M135" s="72"/>
    </x:row>
    <x:row r="136">
      <x:c r="A136" s="72"/>
      <x:c r="B136" s="72"/>
      <x:c r="C136" s="72"/>
      <x:c r="D136" s="72"/>
      <x:c r="E136" s="72"/>
      <x:c r="F136" s="76"/>
      <x:c r="G136" s="74"/>
      <x:c r="H136" s="72"/>
      <x:c r="I136" s="72"/>
      <x:c r="J136" s="73"/>
      <x:c r="K136" s="73"/>
      <x:c r="L136" s="73"/>
      <x:c r="M136" s="72"/>
    </x:row>
    <x:row r="137">
      <x:c r="A137" s="72"/>
      <x:c r="B137" s="72"/>
      <x:c r="C137" s="72"/>
      <x:c r="D137" s="72"/>
      <x:c r="E137" s="72"/>
      <x:c r="F137" s="76"/>
      <x:c r="G137" s="74"/>
      <x:c r="H137" s="72"/>
      <x:c r="I137" s="72"/>
      <x:c r="J137" s="73"/>
      <x:c r="K137" s="73"/>
      <x:c r="L137" s="73"/>
      <x:c r="M137" s="72"/>
    </x:row>
    <x:row r="138">
      <x:c r="A138" s="72"/>
      <x:c r="B138" s="72"/>
      <x:c r="C138" s="72"/>
      <x:c r="D138" s="72"/>
      <x:c r="E138" s="72"/>
      <x:c r="F138" s="76"/>
      <x:c r="G138" s="74"/>
      <x:c r="H138" s="72"/>
      <x:c r="I138" s="72"/>
      <x:c r="J138" s="73"/>
      <x:c r="K138" s="73"/>
      <x:c r="L138" s="73"/>
      <x:c r="M138" s="72"/>
    </x:row>
    <x:row r="139">
      <x:c r="A139" s="72"/>
      <x:c r="B139" s="72"/>
      <x:c r="C139" s="72"/>
      <x:c r="D139" s="72"/>
      <x:c r="E139" s="72"/>
      <x:c r="F139" s="76"/>
      <x:c r="G139" s="74"/>
      <x:c r="H139" s="72"/>
      <x:c r="I139" s="72"/>
      <x:c r="J139" s="73"/>
      <x:c r="K139" s="73"/>
      <x:c r="L139" s="73"/>
      <x:c r="M139" s="72"/>
    </x:row>
    <x:row r="140">
      <x:c r="A140" s="72"/>
      <x:c r="B140" s="72"/>
      <x:c r="C140" s="72"/>
      <x:c r="D140" s="72"/>
      <x:c r="E140" s="72"/>
      <x:c r="F140" s="76"/>
      <x:c r="G140" s="74"/>
      <x:c r="H140" s="72"/>
      <x:c r="I140" s="72"/>
      <x:c r="J140" s="73"/>
      <x:c r="K140" s="73"/>
      <x:c r="L140" s="73"/>
      <x:c r="M140" s="72"/>
    </x:row>
    <x:row r="141">
      <x:c r="A141" s="72"/>
      <x:c r="B141" s="72"/>
      <x:c r="C141" s="72"/>
      <x:c r="D141" s="72"/>
      <x:c r="E141" s="72"/>
      <x:c r="F141" s="76"/>
      <x:c r="G141" s="74"/>
      <x:c r="H141" s="72"/>
      <x:c r="I141" s="72"/>
      <x:c r="J141" s="73"/>
      <x:c r="K141" s="73"/>
      <x:c r="L141" s="73"/>
      <x:c r="M141" s="72"/>
    </x:row>
    <x:row r="142">
      <x:c r="A142" s="72"/>
      <x:c r="B142" s="72"/>
      <x:c r="C142" s="72"/>
      <x:c r="D142" s="72"/>
      <x:c r="E142" s="72"/>
      <x:c r="F142" s="76"/>
      <x:c r="G142" s="74"/>
      <x:c r="H142" s="72"/>
      <x:c r="I142" s="72"/>
      <x:c r="J142" s="73"/>
      <x:c r="K142" s="73"/>
      <x:c r="L142" s="73"/>
      <x:c r="M142" s="72"/>
    </x:row>
    <x:row r="143">
      <x:c r="A143" s="72"/>
      <x:c r="B143" s="72"/>
      <x:c r="C143" s="72"/>
      <x:c r="D143" s="72"/>
      <x:c r="E143" s="72"/>
      <x:c r="F143" s="76"/>
      <x:c r="G143" s="74"/>
      <x:c r="H143" s="72"/>
      <x:c r="I143" s="72"/>
      <x:c r="J143" s="73"/>
      <x:c r="K143" s="73"/>
      <x:c r="L143" s="73"/>
      <x:c r="M143" s="72"/>
    </x:row>
    <x:row r="144">
      <x:c r="A144" s="72"/>
      <x:c r="B144" s="72"/>
      <x:c r="C144" s="72"/>
      <x:c r="D144" s="72"/>
      <x:c r="E144" s="72"/>
      <x:c r="F144" s="76"/>
      <x:c r="G144" s="74"/>
      <x:c r="H144" s="72"/>
      <x:c r="I144" s="72"/>
      <x:c r="J144" s="73"/>
      <x:c r="K144" s="73"/>
      <x:c r="L144" s="73"/>
      <x:c r="M144" s="72"/>
    </x:row>
    <x:row r="145">
      <x:c r="A145" s="72"/>
      <x:c r="B145" s="72"/>
      <x:c r="C145" s="72"/>
      <x:c r="D145" s="72"/>
      <x:c r="E145" s="72"/>
      <x:c r="F145" s="76"/>
      <x:c r="G145" s="74"/>
      <x:c r="H145" s="72"/>
      <x:c r="I145" s="72"/>
      <x:c r="J145" s="73"/>
      <x:c r="K145" s="73"/>
      <x:c r="L145" s="73"/>
      <x:c r="M145" s="72"/>
    </x:row>
    <x:row r="146">
      <x:c r="A146" s="72"/>
      <x:c r="B146" s="72"/>
      <x:c r="C146" s="72"/>
      <x:c r="D146" s="72"/>
      <x:c r="E146" s="72"/>
      <x:c r="F146" s="76"/>
      <x:c r="G146" s="74"/>
      <x:c r="H146" s="72"/>
      <x:c r="I146" s="72"/>
      <x:c r="J146" s="73"/>
      <x:c r="K146" s="73"/>
      <x:c r="L146" s="73"/>
      <x:c r="M146" s="72"/>
    </x:row>
    <x:row r="147">
      <x:c r="A147" s="72"/>
      <x:c r="B147" s="72"/>
      <x:c r="C147" s="72"/>
      <x:c r="D147" s="72"/>
      <x:c r="E147" s="72"/>
      <x:c r="F147" s="76"/>
      <x:c r="G147" s="74"/>
      <x:c r="H147" s="72"/>
      <x:c r="I147" s="72"/>
      <x:c r="J147" s="73"/>
      <x:c r="K147" s="73"/>
      <x:c r="L147" s="73"/>
      <x:c r="M147" s="72"/>
    </x:row>
    <x:row r="148">
      <x:c r="A148" s="72"/>
      <x:c r="B148" s="72"/>
      <x:c r="C148" s="72"/>
      <x:c r="D148" s="72"/>
      <x:c r="E148" s="72"/>
      <x:c r="F148" s="76"/>
      <x:c r="G148" s="74"/>
      <x:c r="H148" s="72"/>
      <x:c r="I148" s="72"/>
      <x:c r="J148" s="73"/>
      <x:c r="K148" s="73"/>
      <x:c r="L148" s="73"/>
      <x:c r="M148" s="72"/>
    </x:row>
    <x:row r="149">
      <x:c r="A149" s="72"/>
      <x:c r="B149" s="72"/>
      <x:c r="C149" s="72"/>
      <x:c r="D149" s="72"/>
      <x:c r="E149" s="72"/>
      <x:c r="F149" s="76"/>
      <x:c r="G149" s="74"/>
      <x:c r="H149" s="72"/>
      <x:c r="I149" s="72"/>
      <x:c r="J149" s="73"/>
      <x:c r="K149" s="73"/>
      <x:c r="L149" s="73"/>
      <x:c r="M149" s="72"/>
    </x:row>
    <x:row r="150">
      <x:c r="A150" s="72"/>
      <x:c r="B150" s="72"/>
      <x:c r="C150" s="72"/>
      <x:c r="D150" s="72"/>
      <x:c r="E150" s="72"/>
      <x:c r="F150" s="76"/>
      <x:c r="G150" s="74"/>
      <x:c r="H150" s="72"/>
      <x:c r="I150" s="72"/>
      <x:c r="J150" s="73"/>
      <x:c r="K150" s="73"/>
      <x:c r="L150" s="73"/>
      <x:c r="M150" s="72"/>
    </x:row>
    <x:row r="151">
      <x:c r="A151" s="72"/>
      <x:c r="B151" s="72"/>
      <x:c r="C151" s="72"/>
      <x:c r="D151" s="72"/>
      <x:c r="E151" s="72"/>
      <x:c r="F151" s="76"/>
      <x:c r="G151" s="74"/>
      <x:c r="H151" s="72"/>
      <x:c r="I151" s="72"/>
      <x:c r="J151" s="73"/>
      <x:c r="K151" s="73"/>
      <x:c r="L151" s="73"/>
      <x:c r="M151" s="72"/>
    </x:row>
    <x:row r="152">
      <x:c r="A152" s="72"/>
      <x:c r="B152" s="72"/>
      <x:c r="C152" s="72"/>
      <x:c r="D152" s="72"/>
      <x:c r="E152" s="72"/>
      <x:c r="F152" s="76"/>
      <x:c r="G152" s="74"/>
      <x:c r="H152" s="72"/>
      <x:c r="I152" s="72"/>
      <x:c r="J152" s="73"/>
      <x:c r="K152" s="73"/>
      <x:c r="L152" s="73"/>
      <x:c r="M152" s="72"/>
    </x:row>
    <x:row r="153">
      <x:c r="A153" s="72"/>
      <x:c r="B153" s="72"/>
      <x:c r="C153" s="72"/>
      <x:c r="D153" s="72"/>
      <x:c r="E153" s="72"/>
      <x:c r="F153" s="76"/>
      <x:c r="G153" s="74"/>
      <x:c r="H153" s="72"/>
      <x:c r="I153" s="72"/>
      <x:c r="J153" s="73"/>
      <x:c r="K153" s="73"/>
      <x:c r="L153" s="73"/>
      <x:c r="M153" s="72"/>
    </x:row>
    <x:row r="154">
      <x:c r="A154" s="72"/>
      <x:c r="B154" s="72"/>
      <x:c r="C154" s="72"/>
      <x:c r="D154" s="72"/>
      <x:c r="E154" s="72"/>
      <x:c r="F154" s="76"/>
      <x:c r="G154" s="74"/>
      <x:c r="H154" s="72"/>
      <x:c r="I154" s="72"/>
      <x:c r="J154" s="73"/>
      <x:c r="K154" s="73"/>
      <x:c r="L154" s="73"/>
      <x:c r="M154" s="72"/>
    </x:row>
    <x:row r="155">
      <x:c r="A155" s="72"/>
      <x:c r="B155" s="72"/>
      <x:c r="C155" s="72"/>
      <x:c r="D155" s="72"/>
      <x:c r="E155" s="72"/>
      <x:c r="F155" s="76"/>
      <x:c r="G155" s="74"/>
      <x:c r="H155" s="72"/>
      <x:c r="I155" s="72"/>
      <x:c r="J155" s="73"/>
      <x:c r="K155" s="73"/>
      <x:c r="L155" s="73"/>
      <x:c r="M155" s="72"/>
    </x:row>
    <x:row r="156">
      <x:c r="A156" s="72"/>
      <x:c r="B156" s="72"/>
      <x:c r="C156" s="72"/>
      <x:c r="D156" s="72"/>
      <x:c r="E156" s="72"/>
      <x:c r="F156" s="76"/>
      <x:c r="G156" s="74"/>
      <x:c r="H156" s="72"/>
      <x:c r="I156" s="72"/>
      <x:c r="J156" s="73"/>
      <x:c r="K156" s="73"/>
      <x:c r="L156" s="73"/>
      <x:c r="M156" s="72"/>
    </x:row>
    <x:row r="157">
      <x:c r="A157" s="72"/>
      <x:c r="B157" s="72"/>
      <x:c r="C157" s="72"/>
      <x:c r="D157" s="72"/>
      <x:c r="E157" s="72"/>
      <x:c r="F157" s="76"/>
      <x:c r="G157" s="74"/>
      <x:c r="H157" s="72"/>
      <x:c r="I157" s="72"/>
      <x:c r="J157" s="73"/>
      <x:c r="K157" s="73"/>
      <x:c r="L157" s="73"/>
      <x:c r="M157" s="72"/>
    </x:row>
    <x:row r="158">
      <x:c r="A158" s="72"/>
      <x:c r="B158" s="72"/>
      <x:c r="C158" s="72"/>
      <x:c r="D158" s="72"/>
      <x:c r="E158" s="72"/>
      <x:c r="F158" s="76"/>
      <x:c r="G158" s="74"/>
      <x:c r="H158" s="72"/>
      <x:c r="I158" s="72"/>
      <x:c r="J158" s="73"/>
      <x:c r="K158" s="73"/>
      <x:c r="L158" s="73"/>
      <x:c r="M158" s="72"/>
    </x:row>
    <x:row r="159">
      <x:c r="A159" s="72"/>
      <x:c r="B159" s="72"/>
      <x:c r="C159" s="72"/>
      <x:c r="D159" s="72"/>
      <x:c r="E159" s="72"/>
      <x:c r="F159" s="76"/>
      <x:c r="G159" s="74"/>
      <x:c r="H159" s="72"/>
      <x:c r="I159" s="72"/>
      <x:c r="J159" s="73"/>
      <x:c r="K159" s="73"/>
      <x:c r="L159" s="73"/>
      <x:c r="M159" s="72"/>
    </x:row>
    <x:row r="160">
      <x:c r="A160" s="72"/>
      <x:c r="B160" s="72"/>
      <x:c r="C160" s="72"/>
      <x:c r="D160" s="72"/>
      <x:c r="E160" s="72"/>
      <x:c r="F160" s="76"/>
      <x:c r="G160" s="74"/>
      <x:c r="H160" s="72"/>
      <x:c r="I160" s="72"/>
      <x:c r="J160" s="73"/>
      <x:c r="K160" s="73"/>
      <x:c r="L160" s="73"/>
      <x:c r="M160" s="72"/>
    </x:row>
    <x:row r="161">
      <x:c r="A161" s="72"/>
      <x:c r="B161" s="72"/>
      <x:c r="C161" s="72"/>
      <x:c r="D161" s="72"/>
      <x:c r="E161" s="72"/>
      <x:c r="F161" s="76"/>
      <x:c r="G161" s="74"/>
      <x:c r="H161" s="72"/>
      <x:c r="I161" s="72"/>
      <x:c r="J161" s="73"/>
      <x:c r="K161" s="73"/>
      <x:c r="L161" s="73"/>
      <x:c r="M161" s="72"/>
    </x:row>
    <x:row r="162">
      <x:c r="A162" s="72"/>
      <x:c r="B162" s="72"/>
      <x:c r="C162" s="72"/>
      <x:c r="D162" s="72"/>
      <x:c r="E162" s="72"/>
      <x:c r="F162" s="76"/>
      <x:c r="G162" s="74"/>
      <x:c r="H162" s="72"/>
      <x:c r="I162" s="72"/>
      <x:c r="J162" s="73"/>
      <x:c r="K162" s="73"/>
      <x:c r="L162" s="73"/>
      <x:c r="M162" s="72"/>
    </x:row>
    <x:row r="163">
      <x:c r="A163" s="72"/>
      <x:c r="B163" s="72"/>
      <x:c r="C163" s="72"/>
      <x:c r="D163" s="72"/>
      <x:c r="E163" s="72"/>
      <x:c r="F163" s="76"/>
      <x:c r="G163" s="74"/>
      <x:c r="H163" s="72"/>
      <x:c r="I163" s="72"/>
      <x:c r="J163" s="73"/>
      <x:c r="K163" s="73"/>
      <x:c r="L163" s="73"/>
      <x:c r="M163" s="72"/>
    </x:row>
    <x:row r="164">
      <x:c r="A164" s="72"/>
      <x:c r="B164" s="72"/>
      <x:c r="C164" s="72"/>
      <x:c r="D164" s="72"/>
      <x:c r="E164" s="72"/>
      <x:c r="F164" s="76"/>
      <x:c r="G164" s="74"/>
      <x:c r="H164" s="72"/>
      <x:c r="I164" s="72"/>
      <x:c r="J164" s="73"/>
      <x:c r="K164" s="73"/>
      <x:c r="L164" s="73"/>
      <x:c r="M164" s="72"/>
    </x:row>
    <x:row r="165">
      <x:c r="A165" s="72"/>
      <x:c r="B165" s="72"/>
      <x:c r="C165" s="72"/>
      <x:c r="D165" s="72"/>
      <x:c r="E165" s="72"/>
      <x:c r="F165" s="76"/>
      <x:c r="G165" s="74"/>
      <x:c r="H165" s="72"/>
      <x:c r="I165" s="72"/>
      <x:c r="J165" s="73"/>
      <x:c r="K165" s="73"/>
      <x:c r="L165" s="73"/>
      <x:c r="M165" s="72"/>
    </x:row>
    <x:row r="166">
      <x:c r="A166" s="72"/>
      <x:c r="B166" s="72"/>
      <x:c r="C166" s="72"/>
      <x:c r="D166" s="72"/>
      <x:c r="E166" s="72"/>
      <x:c r="F166" s="76"/>
      <x:c r="G166" s="74"/>
      <x:c r="H166" s="72"/>
      <x:c r="I166" s="72"/>
      <x:c r="J166" s="73"/>
      <x:c r="K166" s="73"/>
      <x:c r="L166" s="73"/>
      <x:c r="M166" s="72"/>
    </x:row>
    <x:row r="167">
      <x:c r="A167" s="72"/>
      <x:c r="B167" s="72"/>
      <x:c r="C167" s="72"/>
      <x:c r="D167" s="72"/>
      <x:c r="E167" s="72"/>
      <x:c r="F167" s="76"/>
      <x:c r="G167" s="74"/>
      <x:c r="H167" s="72"/>
      <x:c r="I167" s="72"/>
      <x:c r="J167" s="73"/>
      <x:c r="K167" s="73"/>
      <x:c r="L167" s="73"/>
      <x:c r="M167" s="72"/>
    </x:row>
    <x:row r="168">
      <x:c r="A168" s="72"/>
      <x:c r="B168" s="72"/>
      <x:c r="C168" s="72"/>
      <x:c r="D168" s="72"/>
      <x:c r="E168" s="72"/>
      <x:c r="F168" s="76"/>
      <x:c r="G168" s="74"/>
      <x:c r="H168" s="72"/>
      <x:c r="I168" s="72"/>
      <x:c r="J168" s="73"/>
      <x:c r="K168" s="73"/>
      <x:c r="L168" s="73"/>
      <x:c r="M168" s="72"/>
    </x:row>
    <x:row r="169">
      <x:c r="A169" s="72"/>
      <x:c r="B169" s="72"/>
      <x:c r="C169" s="72"/>
      <x:c r="D169" s="72"/>
      <x:c r="E169" s="72"/>
      <x:c r="F169" s="76"/>
      <x:c r="G169" s="74"/>
      <x:c r="H169" s="72"/>
      <x:c r="I169" s="72"/>
      <x:c r="J169" s="73"/>
      <x:c r="K169" s="73"/>
      <x:c r="L169" s="73"/>
      <x:c r="M169" s="72"/>
    </x:row>
    <x:row r="170">
      <x:c r="A170" s="72"/>
      <x:c r="B170" s="72"/>
      <x:c r="C170" s="72"/>
      <x:c r="D170" s="72"/>
      <x:c r="E170" s="72"/>
      <x:c r="F170" s="76"/>
      <x:c r="G170" s="74"/>
      <x:c r="H170" s="72"/>
      <x:c r="I170" s="72"/>
      <x:c r="J170" s="73"/>
      <x:c r="K170" s="73"/>
      <x:c r="L170" s="73"/>
      <x:c r="M170" s="72"/>
    </x:row>
    <x:row r="171">
      <x:c r="A171" s="72"/>
      <x:c r="B171" s="72"/>
      <x:c r="C171" s="72"/>
      <x:c r="D171" s="72"/>
      <x:c r="E171" s="72"/>
      <x:c r="F171" s="76"/>
      <x:c r="G171" s="74"/>
      <x:c r="H171" s="72"/>
      <x:c r="I171" s="72"/>
      <x:c r="J171" s="73"/>
      <x:c r="K171" s="73"/>
      <x:c r="L171" s="73"/>
      <x:c r="M171" s="72"/>
    </x:row>
    <x:row r="172">
      <x:c r="A172" s="72"/>
      <x:c r="B172" s="72"/>
      <x:c r="C172" s="72"/>
      <x:c r="D172" s="72"/>
      <x:c r="E172" s="72"/>
      <x:c r="F172" s="76"/>
      <x:c r="G172" s="74"/>
      <x:c r="H172" s="72"/>
      <x:c r="I172" s="72"/>
      <x:c r="J172" s="73"/>
      <x:c r="K172" s="73"/>
      <x:c r="L172" s="73"/>
      <x:c r="M172" s="72"/>
    </x:row>
    <x:row r="173">
      <x:c r="A173" s="72"/>
      <x:c r="B173" s="72"/>
      <x:c r="C173" s="72"/>
      <x:c r="D173" s="72"/>
      <x:c r="E173" s="72"/>
      <x:c r="F173" s="76"/>
      <x:c r="G173" s="74"/>
      <x:c r="H173" s="72"/>
      <x:c r="I173" s="72"/>
      <x:c r="J173" s="73"/>
      <x:c r="K173" s="73"/>
      <x:c r="L173" s="73"/>
      <x:c r="M173" s="72"/>
    </x:row>
    <x:row r="174">
      <x:c r="A174" s="72"/>
      <x:c r="B174" s="72"/>
      <x:c r="C174" s="72"/>
      <x:c r="D174" s="72"/>
      <x:c r="E174" s="72"/>
      <x:c r="F174" s="76"/>
      <x:c r="G174" s="74"/>
      <x:c r="H174" s="72"/>
      <x:c r="I174" s="72"/>
      <x:c r="J174" s="73"/>
      <x:c r="K174" s="73"/>
      <x:c r="L174" s="73"/>
      <x:c r="M174" s="72"/>
    </x:row>
    <x:row r="175">
      <x:c r="A175" s="72"/>
      <x:c r="B175" s="72"/>
      <x:c r="C175" s="72"/>
      <x:c r="D175" s="72"/>
      <x:c r="E175" s="72"/>
      <x:c r="F175" s="76"/>
      <x:c r="G175" s="74"/>
      <x:c r="H175" s="72"/>
      <x:c r="I175" s="72"/>
      <x:c r="J175" s="73"/>
      <x:c r="K175" s="73"/>
      <x:c r="L175" s="73"/>
      <x:c r="M175" s="72"/>
    </x:row>
    <x:row r="176">
      <x:c r="A176" s="72"/>
      <x:c r="B176" s="72"/>
      <x:c r="C176" s="72"/>
      <x:c r="D176" s="72"/>
      <x:c r="E176" s="72"/>
      <x:c r="F176" s="76"/>
      <x:c r="G176" s="74"/>
      <x:c r="H176" s="72"/>
      <x:c r="I176" s="72"/>
      <x:c r="J176" s="73"/>
      <x:c r="K176" s="73"/>
      <x:c r="L176" s="73"/>
      <x:c r="M176" s="72"/>
    </x:row>
    <x:row r="177">
      <x:c r="A177" s="72"/>
      <x:c r="B177" s="72"/>
      <x:c r="C177" s="72"/>
      <x:c r="D177" s="72"/>
      <x:c r="E177" s="72"/>
      <x:c r="F177" s="76"/>
      <x:c r="G177" s="74"/>
      <x:c r="H177" s="72"/>
      <x:c r="I177" s="72"/>
      <x:c r="J177" s="73"/>
      <x:c r="K177" s="73"/>
      <x:c r="L177" s="73"/>
      <x:c r="M177" s="72"/>
    </x:row>
    <x:row r="178">
      <x:c r="A178" s="72"/>
      <x:c r="B178" s="72"/>
      <x:c r="C178" s="72"/>
      <x:c r="D178" s="72"/>
      <x:c r="E178" s="72"/>
      <x:c r="F178" s="76"/>
      <x:c r="G178" s="74"/>
      <x:c r="H178" s="72"/>
      <x:c r="I178" s="72"/>
      <x:c r="J178" s="73"/>
      <x:c r="K178" s="73"/>
      <x:c r="L178" s="73"/>
      <x:c r="M178" s="72"/>
    </x:row>
    <x:row r="179">
      <x:c r="A179" s="72"/>
      <x:c r="B179" s="72"/>
      <x:c r="C179" s="72"/>
      <x:c r="D179" s="72"/>
      <x:c r="E179" s="72"/>
      <x:c r="F179" s="76"/>
      <x:c r="G179" s="74"/>
      <x:c r="H179" s="72"/>
      <x:c r="I179" s="72"/>
      <x:c r="J179" s="73"/>
      <x:c r="K179" s="73"/>
      <x:c r="L179" s="73"/>
      <x:c r="M179" s="72"/>
    </x:row>
    <x:row r="180">
      <x:c r="A180" s="72"/>
      <x:c r="B180" s="72"/>
      <x:c r="C180" s="72"/>
      <x:c r="D180" s="72"/>
      <x:c r="E180" s="72"/>
      <x:c r="F180" s="76"/>
      <x:c r="G180" s="74"/>
      <x:c r="H180" s="72"/>
      <x:c r="I180" s="72"/>
      <x:c r="J180" s="73"/>
      <x:c r="K180" s="73"/>
      <x:c r="L180" s="73"/>
      <x:c r="M180" s="72"/>
    </x:row>
    <x:row r="181">
      <x:c r="A181" s="72"/>
      <x:c r="B181" s="72"/>
      <x:c r="C181" s="72"/>
      <x:c r="D181" s="72"/>
      <x:c r="E181" s="72"/>
      <x:c r="F181" s="76"/>
      <x:c r="G181" s="74"/>
      <x:c r="H181" s="72"/>
      <x:c r="I181" s="72"/>
      <x:c r="J181" s="73"/>
      <x:c r="K181" s="73"/>
      <x:c r="L181" s="73"/>
      <x:c r="M181" s="72"/>
    </x:row>
    <x:row r="182">
      <x:c r="A182" s="72"/>
      <x:c r="B182" s="72"/>
      <x:c r="C182" s="72"/>
      <x:c r="D182" s="72"/>
      <x:c r="E182" s="72"/>
      <x:c r="F182" s="76"/>
      <x:c r="G182" s="74"/>
      <x:c r="H182" s="72"/>
      <x:c r="I182" s="72"/>
      <x:c r="J182" s="73"/>
      <x:c r="K182" s="73"/>
      <x:c r="L182" s="73"/>
      <x:c r="M182" s="72"/>
    </x:row>
    <x:row r="183">
      <x:c r="A183" s="72"/>
      <x:c r="B183" s="72"/>
      <x:c r="C183" s="72"/>
      <x:c r="D183" s="72"/>
      <x:c r="E183" s="72"/>
      <x:c r="F183" s="76"/>
      <x:c r="G183" s="74"/>
      <x:c r="H183" s="72"/>
      <x:c r="I183" s="72"/>
      <x:c r="J183" s="73"/>
      <x:c r="K183" s="73"/>
      <x:c r="L183" s="73"/>
      <x:c r="M183" s="72"/>
    </x:row>
    <x:row r="184">
      <x:c r="A184" s="72"/>
      <x:c r="B184" s="72"/>
      <x:c r="C184" s="72"/>
      <x:c r="D184" s="72"/>
      <x:c r="E184" s="72"/>
      <x:c r="F184" s="76"/>
      <x:c r="G184" s="74"/>
      <x:c r="H184" s="72"/>
      <x:c r="I184" s="72"/>
      <x:c r="J184" s="73"/>
      <x:c r="K184" s="73"/>
      <x:c r="L184" s="73"/>
      <x:c r="M184" s="72"/>
    </x:row>
    <x:row r="185">
      <x:c r="A185" s="72"/>
      <x:c r="B185" s="72"/>
      <x:c r="C185" s="72"/>
      <x:c r="D185" s="72"/>
      <x:c r="E185" s="72"/>
      <x:c r="F185" s="76"/>
      <x:c r="G185" s="74"/>
      <x:c r="H185" s="72"/>
      <x:c r="I185" s="72"/>
      <x:c r="J185" s="73"/>
      <x:c r="K185" s="73"/>
      <x:c r="L185" s="73"/>
      <x:c r="M185" s="72"/>
    </x:row>
    <x:row r="186">
      <x:c r="A186" s="72"/>
      <x:c r="B186" s="72"/>
      <x:c r="C186" s="72"/>
      <x:c r="D186" s="72"/>
      <x:c r="E186" s="72"/>
      <x:c r="F186" s="76"/>
      <x:c r="G186" s="74"/>
      <x:c r="H186" s="72"/>
      <x:c r="I186" s="72"/>
      <x:c r="J186" s="73"/>
      <x:c r="K186" s="73"/>
      <x:c r="L186" s="73"/>
      <x:c r="M186" s="72"/>
    </x:row>
    <x:row r="187">
      <x:c r="A187" s="72"/>
      <x:c r="B187" s="72"/>
      <x:c r="C187" s="72"/>
      <x:c r="D187" s="72"/>
      <x:c r="E187" s="72"/>
      <x:c r="F187" s="76"/>
      <x:c r="G187" s="74"/>
      <x:c r="H187" s="72"/>
      <x:c r="I187" s="72"/>
      <x:c r="J187" s="73"/>
      <x:c r="K187" s="73"/>
      <x:c r="L187" s="73"/>
      <x:c r="M187" s="72"/>
    </x:row>
    <x:row r="188">
      <x:c r="A188" s="72"/>
      <x:c r="B188" s="72"/>
      <x:c r="C188" s="72"/>
      <x:c r="D188" s="72"/>
      <x:c r="E188" s="72"/>
      <x:c r="F188" s="76"/>
      <x:c r="G188" s="74"/>
      <x:c r="H188" s="72"/>
      <x:c r="I188" s="72"/>
      <x:c r="J188" s="73"/>
      <x:c r="K188" s="73"/>
      <x:c r="L188" s="73"/>
      <x:c r="M188" s="72"/>
    </x:row>
    <x:row r="189">
      <x:c r="A189" s="72"/>
      <x:c r="B189" s="72"/>
      <x:c r="C189" s="72"/>
      <x:c r="D189" s="72"/>
      <x:c r="E189" s="72"/>
      <x:c r="F189" s="76"/>
      <x:c r="G189" s="74"/>
      <x:c r="H189" s="72"/>
      <x:c r="I189" s="72"/>
      <x:c r="J189" s="73"/>
      <x:c r="K189" s="73"/>
      <x:c r="L189" s="73"/>
      <x:c r="M189" s="72"/>
    </x:row>
    <x:row r="190">
      <x:c r="A190" s="72"/>
      <x:c r="B190" s="72"/>
      <x:c r="C190" s="72"/>
      <x:c r="D190" s="72"/>
      <x:c r="E190" s="72"/>
      <x:c r="F190" s="76"/>
      <x:c r="G190" s="74"/>
      <x:c r="H190" s="72"/>
      <x:c r="I190" s="72"/>
      <x:c r="J190" s="73"/>
      <x:c r="K190" s="73"/>
      <x:c r="L190" s="73"/>
      <x:c r="M190" s="72"/>
    </x:row>
    <x:row r="191">
      <x:c r="A191" s="72"/>
      <x:c r="B191" s="72"/>
      <x:c r="C191" s="72"/>
      <x:c r="D191" s="72"/>
      <x:c r="E191" s="72"/>
      <x:c r="F191" s="76"/>
      <x:c r="G191" s="74"/>
      <x:c r="H191" s="72"/>
      <x:c r="I191" s="72"/>
      <x:c r="J191" s="73"/>
      <x:c r="K191" s="73"/>
      <x:c r="L191" s="73"/>
      <x:c r="M191" s="72"/>
    </x:row>
    <x:row r="192">
      <x:c r="A192" s="72"/>
      <x:c r="B192" s="72"/>
      <x:c r="C192" s="72"/>
      <x:c r="D192" s="72"/>
      <x:c r="E192" s="72"/>
      <x:c r="F192" s="76"/>
      <x:c r="G192" s="74"/>
      <x:c r="H192" s="72"/>
      <x:c r="I192" s="72"/>
      <x:c r="J192" s="73"/>
      <x:c r="K192" s="73"/>
      <x:c r="L192" s="73"/>
      <x:c r="M192" s="72"/>
    </x:row>
    <x:row r="193">
      <x:c r="A193" s="72"/>
      <x:c r="B193" s="72"/>
      <x:c r="C193" s="72"/>
      <x:c r="D193" s="72"/>
      <x:c r="E193" s="72"/>
      <x:c r="F193" s="76"/>
      <x:c r="G193" s="74"/>
      <x:c r="H193" s="72"/>
      <x:c r="I193" s="72"/>
      <x:c r="J193" s="73"/>
      <x:c r="K193" s="73"/>
      <x:c r="L193" s="73"/>
      <x:c r="M193" s="72"/>
    </x:row>
    <x:row r="194">
      <x:c r="A194" s="72"/>
      <x:c r="B194" s="72"/>
      <x:c r="C194" s="72"/>
      <x:c r="D194" s="72"/>
      <x:c r="E194" s="72"/>
      <x:c r="F194" s="76"/>
      <x:c r="G194" s="74"/>
      <x:c r="H194" s="72"/>
      <x:c r="I194" s="72"/>
      <x:c r="J194" s="73"/>
      <x:c r="K194" s="73"/>
      <x:c r="L194" s="73"/>
      <x:c r="M194" s="72"/>
    </x:row>
    <x:row r="195">
      <x:c r="A195" s="72"/>
      <x:c r="B195" s="72"/>
      <x:c r="C195" s="72"/>
      <x:c r="D195" s="72"/>
      <x:c r="E195" s="72"/>
      <x:c r="F195" s="76"/>
      <x:c r="G195" s="74"/>
      <x:c r="H195" s="72"/>
      <x:c r="I195" s="72"/>
      <x:c r="J195" s="73"/>
      <x:c r="K195" s="73"/>
      <x:c r="L195" s="73"/>
      <x:c r="M195" s="72"/>
    </x:row>
    <x:row r="196">
      <x:c r="A196" s="72"/>
      <x:c r="B196" s="72"/>
      <x:c r="C196" s="72"/>
      <x:c r="D196" s="72"/>
      <x:c r="E196" s="72"/>
      <x:c r="F196" s="76"/>
      <x:c r="G196" s="74"/>
      <x:c r="H196" s="72"/>
      <x:c r="I196" s="72"/>
      <x:c r="J196" s="73"/>
      <x:c r="K196" s="73"/>
      <x:c r="L196" s="73"/>
      <x:c r="M196" s="72"/>
    </x:row>
    <x:row r="197">
      <x:c r="A197" s="72"/>
      <x:c r="B197" s="72"/>
      <x:c r="C197" s="72"/>
      <x:c r="D197" s="72"/>
      <x:c r="E197" s="72"/>
      <x:c r="F197" s="76"/>
      <x:c r="G197" s="74"/>
      <x:c r="H197" s="72"/>
      <x:c r="I197" s="72"/>
      <x:c r="J197" s="73"/>
      <x:c r="K197" s="73"/>
      <x:c r="L197" s="73"/>
      <x:c r="M197" s="72"/>
    </x:row>
    <x:row r="198">
      <x:c r="A198" s="72"/>
      <x:c r="B198" s="72"/>
      <x:c r="C198" s="72"/>
      <x:c r="D198" s="72"/>
      <x:c r="E198" s="72"/>
      <x:c r="F198" s="76"/>
      <x:c r="G198" s="74"/>
      <x:c r="H198" s="72"/>
      <x:c r="I198" s="72"/>
      <x:c r="J198" s="73"/>
      <x:c r="K198" s="73"/>
      <x:c r="L198" s="73"/>
      <x:c r="M198" s="72"/>
    </x:row>
    <x:row r="199">
      <x:c r="A199" s="72"/>
      <x:c r="B199" s="72"/>
      <x:c r="C199" s="72"/>
      <x:c r="D199" s="72"/>
      <x:c r="E199" s="72"/>
      <x:c r="F199" s="76"/>
      <x:c r="G199" s="74"/>
      <x:c r="H199" s="72"/>
      <x:c r="I199" s="72"/>
      <x:c r="J199" s="73"/>
      <x:c r="K199" s="73"/>
      <x:c r="L199" s="73"/>
      <x:c r="M199" s="72"/>
    </x:row>
    <x:row r="200">
      <x:c r="A200" s="72"/>
      <x:c r="B200" s="72"/>
      <x:c r="C200" s="72"/>
      <x:c r="D200" s="72"/>
      <x:c r="E200" s="72"/>
      <x:c r="F200" s="76"/>
      <x:c r="G200" s="74"/>
      <x:c r="H200" s="72"/>
      <x:c r="I200" s="72"/>
      <x:c r="J200" s="73"/>
      <x:c r="K200" s="73"/>
      <x:c r="L200" s="73"/>
      <x:c r="M200" s="72"/>
    </x:row>
  </x:sheetData>
  <x:mergeCells>
    <x:mergeCell ref="A1:M1"/>
  </x:mergeCells>
  <x:dataValidations count="2">
    <x:dataValidation type="decimal" operator="between" sqref="G4:G200">
      <x:formula1>0</x:formula1>
      <x:formula2>1</x:formula2>
    </x:dataValidation>
    <x:dataValidation type="list" sqref="H4:I200">
      <x:formula1>"Y,N"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93" t="str">
        <x:v>기준정보: Supplier·Lead Time·MOQ·단가·Flexibility Rule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</x:row>
    <x:row r="3">
      <x:c r="A3" s="67" t="str">
        <x:v>Supplier</x:v>
      </x:c>
      <x:c r="B3" s="67" t="str">
        <x:v>출발거점</x:v>
      </x:c>
      <x:c r="C3" s="67" t="str">
        <x:v>상품구분</x:v>
      </x:c>
      <x:c r="D3" s="67" t="str">
        <x:v>품목코드</x:v>
      </x:c>
      <x:c r="E3" s="67" t="str">
        <x:v>품목명</x:v>
      </x:c>
      <x:c r="F3" s="67" t="str">
        <x:v>단위</x:v>
      </x:c>
      <x:c r="G3" s="67" t="str">
        <x:v>MOQ</x:v>
      </x:c>
      <x:c r="H3" s="67" t="str">
        <x:v>발주단위</x:v>
      </x:c>
      <x:c r="I3" s="67" t="str">
        <x:v>Lead Time(일)</x:v>
      </x:c>
      <x:c r="J3" s="67" t="str">
        <x:v>단가</x:v>
      </x:c>
      <x:c r="K3" s="67" t="str">
        <x:v>통화</x:v>
      </x:c>
      <x:c r="L3" s="67" t="str">
        <x:v>전월 Flex</x:v>
      </x:c>
      <x:c r="M3" s="67" t="str">
        <x:v>전전월 Flex</x:v>
      </x:c>
      <x:c r="N3" s="67" t="str">
        <x:v>평균사용량 기준</x:v>
      </x:c>
    </x:row>
    <x:row r="4">
      <x:c r="A4" s="72" t="str">
        <x:v>Supplier A</x:v>
      </x:c>
      <x:c r="B4" s="72" t="str">
        <x:v>상해</x:v>
      </x:c>
      <x:c r="C4" s="72" t="str">
        <x:v>기기</x:v>
      </x:c>
      <x:c r="D4" s="72" t="str">
        <x:v>PRT-A3-001</x:v>
      </x:c>
      <x:c r="E4" s="72" t="str">
        <x:v>A3 Printer</x:v>
      </x:c>
      <x:c r="F4" s="72" t="str">
        <x:v>대</x:v>
      </x:c>
      <x:c r="G4" s="73" t="n">
        <x:v>10</x:v>
      </x:c>
      <x:c r="H4" s="73" t="n">
        <x:v>10</x:v>
      </x:c>
      <x:c r="I4" s="73" t="n">
        <x:v>45</x:v>
      </x:c>
      <x:c r="J4" s="73" t="n">
        <x:v>1000000</x:v>
      </x:c>
      <x:c r="K4" s="72" t="str">
        <x:v>KRW</x:v>
      </x:c>
      <x:c r="L4" s="74" t="n">
        <x:v>0.2</x:v>
      </x:c>
      <x:c r="M4" s="74" t="n">
        <x:v>0.3</x:v>
      </x:c>
      <x:c r="N4" s="72" t="str">
        <x:v>-</x:v>
      </x:c>
    </x:row>
    <x:row r="5">
      <x:c r="A5" s="72" t="str">
        <x:v>Supplier B</x:v>
      </x:c>
      <x:c r="B5" s="72" t="str">
        <x:v>심천</x:v>
      </x:c>
      <x:c r="C5" s="72" t="str">
        <x:v>기기</x:v>
      </x:c>
      <x:c r="D5" s="72" t="str">
        <x:v>PRT-A4-001</x:v>
      </x:c>
      <x:c r="E5" s="72" t="str">
        <x:v>A4 Printer</x:v>
      </x:c>
      <x:c r="F5" s="72" t="str">
        <x:v>대</x:v>
      </x:c>
      <x:c r="G5" s="73" t="n">
        <x:v>20</x:v>
      </x:c>
      <x:c r="H5" s="73" t="n">
        <x:v>20</x:v>
      </x:c>
      <x:c r="I5" s="73" t="n">
        <x:v>45</x:v>
      </x:c>
      <x:c r="J5" s="73" t="n">
        <x:v>650000</x:v>
      </x:c>
      <x:c r="K5" s="72" t="str">
        <x:v>KRW</x:v>
      </x:c>
      <x:c r="L5" s="74" t="n">
        <x:v>0.2</x:v>
      </x:c>
      <x:c r="M5" s="74" t="n">
        <x:v>0.3</x:v>
      </x:c>
      <x:c r="N5" s="72" t="str">
        <x:v>-</x:v>
      </x:c>
    </x:row>
    <x:row r="6">
      <x:c r="A6" s="72" t="str">
        <x:v>Supplier C</x:v>
      </x:c>
      <x:c r="B6" s="72" t="str">
        <x:v>베트남</x:v>
      </x:c>
      <x:c r="C6" s="72" t="str">
        <x:v>옵션</x:v>
      </x:c>
      <x:c r="D6" s="72" t="str">
        <x:v>OPT-FIN-001</x:v>
      </x:c>
      <x:c r="E6" s="72" t="str">
        <x:v>Finisher</x:v>
      </x:c>
      <x:c r="F6" s="72" t="str">
        <x:v>개</x:v>
      </x:c>
      <x:c r="G6" s="73" t="n">
        <x:v>5</x:v>
      </x:c>
      <x:c r="H6" s="73" t="n">
        <x:v>5</x:v>
      </x:c>
      <x:c r="I6" s="73" t="n">
        <x:v>60</x:v>
      </x:c>
      <x:c r="J6" s="73" t="n">
        <x:v>250000</x:v>
      </x:c>
      <x:c r="K6" s="72" t="str">
        <x:v>KRW</x:v>
      </x:c>
      <x:c r="L6" s="74" t="n">
        <x:v>0.2</x:v>
      </x:c>
      <x:c r="M6" s="74" t="n">
        <x:v>0.3</x:v>
      </x:c>
      <x:c r="N6" s="72" t="str">
        <x:v>-</x:v>
      </x:c>
    </x:row>
    <x:row r="7">
      <x:c r="A7" s="72" t="str">
        <x:v>Supplier C</x:v>
      </x:c>
      <x:c r="B7" s="72" t="str">
        <x:v>베트남</x:v>
      </x:c>
      <x:c r="C7" s="72" t="str">
        <x:v>옵션</x:v>
      </x:c>
      <x:c r="D7" s="72" t="str">
        <x:v>OPT-TRAY-001</x:v>
      </x:c>
      <x:c r="E7" s="72" t="str">
        <x:v>Paper Tray</x:v>
      </x:c>
      <x:c r="F7" s="72" t="str">
        <x:v>개</x:v>
      </x:c>
      <x:c r="G7" s="73" t="n">
        <x:v>10</x:v>
      </x:c>
      <x:c r="H7" s="73" t="n">
        <x:v>10</x:v>
      </x:c>
      <x:c r="I7" s="73" t="n">
        <x:v>60</x:v>
      </x:c>
      <x:c r="J7" s="73" t="n">
        <x:v>80000</x:v>
      </x:c>
      <x:c r="K7" s="72" t="str">
        <x:v>KRW</x:v>
      </x:c>
      <x:c r="L7" s="74" t="n">
        <x:v>0.2</x:v>
      </x:c>
      <x:c r="M7" s="74" t="n">
        <x:v>0.3</x:v>
      </x:c>
      <x:c r="N7" s="72" t="str">
        <x:v>-</x:v>
      </x:c>
    </x:row>
    <x:row r="8">
      <x:c r="A8" s="72" t="str">
        <x:v>Supplier D</x:v>
      </x:c>
      <x:c r="B8" s="72" t="str">
        <x:v>도쿄</x:v>
      </x:c>
      <x:c r="C8" s="72" t="str">
        <x:v>소모품</x:v>
      </x:c>
      <x:c r="D8" s="72" t="str">
        <x:v>CON-TNR-001</x:v>
      </x:c>
      <x:c r="E8" s="72" t="str">
        <x:v>Toner</x:v>
      </x:c>
      <x:c r="F8" s="72" t="str">
        <x:v>개</x:v>
      </x:c>
      <x:c r="G8" s="73" t="n">
        <x:v>50</x:v>
      </x:c>
      <x:c r="H8" s="73" t="n">
        <x:v>50</x:v>
      </x:c>
      <x:c r="I8" s="73" t="n">
        <x:v>30</x:v>
      </x:c>
      <x:c r="J8" s="73" t="n">
        <x:v>30000</x:v>
      </x:c>
      <x:c r="K8" s="72" t="str">
        <x:v>KRW</x:v>
      </x:c>
      <x:c r="L8" s="74" t="n">
        <x:v>0.2</x:v>
      </x:c>
      <x:c r="M8" s="74" t="n">
        <x:v>0.3</x:v>
      </x:c>
      <x:c r="N8" s="72" t="str">
        <x:v>3Month</x:v>
      </x:c>
    </x:row>
    <x:row r="9">
      <x:c r="A9" s="72" t="str">
        <x:v>Supplier E</x:v>
      </x:c>
      <x:c r="B9" s="72" t="str">
        <x:v>네덜란드</x:v>
      </x:c>
      <x:c r="C9" s="72" t="str">
        <x:v>부품</x:v>
      </x:c>
      <x:c r="D9" s="72" t="str">
        <x:v>PART-001</x:v>
      </x:c>
      <x:c r="E9" s="72" t="str">
        <x:v>Maintenance Part</x:v>
      </x:c>
      <x:c r="F9" s="72" t="str">
        <x:v>개</x:v>
      </x:c>
      <x:c r="G9" s="73" t="n">
        <x:v>10</x:v>
      </x:c>
      <x:c r="H9" s="73" t="n">
        <x:v>10</x:v>
      </x:c>
      <x:c r="I9" s="73" t="n">
        <x:v>75</x:v>
      </x:c>
      <x:c r="J9" s="73" t="n">
        <x:v>50000</x:v>
      </x:c>
      <x:c r="K9" s="72" t="str">
        <x:v>KRW</x:v>
      </x:c>
      <x:c r="L9" s="74" t="n">
        <x:v>0.2</x:v>
      </x:c>
      <x:c r="M9" s="74" t="n">
        <x:v>0.3</x:v>
      </x:c>
      <x:c r="N9" s="72" t="str">
        <x:v>6Month</x:v>
      </x:c>
    </x:row>
    <x:row r="10">
      <x:c r="A10" s="72" t="str"/>
      <x:c r="B10" s="72" t="str"/>
      <x:c r="C10" s="72" t="str"/>
      <x:c r="D10" s="72" t="str"/>
      <x:c r="E10" s="72" t="str"/>
      <x:c r="F10" s="72" t="str"/>
      <x:c r="G10" s="73"/>
      <x:c r="H10" s="73"/>
      <x:c r="I10" s="73"/>
      <x:c r="J10" s="73"/>
      <x:c r="K10" s="72" t="str"/>
      <x:c r="L10" s="74"/>
      <x:c r="M10" s="74"/>
      <x:c r="N10" s="72" t="str"/>
    </x:row>
  </x:sheetData>
  <x:mergeCells>
    <x:mergeCell ref="A1:N1"/>
  </x:mergeCells>
  <x:dataValidations count="1">
    <x:dataValidation type="decimal" operator="between" sqref="L4:M200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626b49b629d24da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2" hidden="0" customWidth="1"/>
    <x:col min="11" max="11" width="15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20" hidden="0" customWidth="1"/>
  </x:cols>
  <x:sheetData>
    <x:row r="1" ht="30" customHeight="1">
      <x:c r="A1" s="93" t="str">
        <x:v>기준정보: Supplier·거점·물류 Lead Time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</x:row>
    <x:row r="3">
      <x:c r="A3" s="67" t="str">
        <x:v>Supplier코드</x:v>
      </x:c>
      <x:c r="B3" s="67" t="str">
        <x:v>Supplier명</x:v>
      </x:c>
      <x:c r="C3" s="67" t="str">
        <x:v>출발거점</x:v>
      </x:c>
      <x:c r="D3" s="67" t="str">
        <x:v>국가</x:v>
      </x:c>
      <x:c r="E3" s="67" t="str">
        <x:v>생산LT(일)</x:v>
      </x:c>
      <x:c r="F3" s="67" t="str">
        <x:v>현지출하LT(일)</x:v>
      </x:c>
      <x:c r="G3" s="67" t="str">
        <x:v>해상/항공LT(일)</x:v>
      </x:c>
      <x:c r="H3" s="67" t="str">
        <x:v>통관LT(일)</x:v>
      </x:c>
      <x:c r="I3" s="67" t="str">
        <x:v>국내운송LT(일)</x:v>
      </x:c>
      <x:c r="J3" s="67" t="str">
        <x:v>총LT(일)</x:v>
      </x:c>
      <x:c r="K3" s="67" t="str">
        <x:v>발주마감일</x:v>
      </x:c>
      <x:c r="L3" s="67" t="str">
        <x:v>운송수단</x:v>
      </x:c>
      <x:c r="M3" s="67" t="str">
        <x:v>Incoterms</x:v>
      </x:c>
      <x:c r="N3" s="67" t="str">
        <x:v>분할납품</x:v>
      </x:c>
      <x:c r="O3" s="67" t="str">
        <x:v>긴급발주</x:v>
      </x:c>
      <x:c r="P3" s="67" t="str">
        <x:v>담당자</x:v>
      </x:c>
      <x:c r="Q3" s="67" t="str">
        <x:v>비고</x:v>
      </x:c>
    </x:row>
    <x:row r="4">
      <x:c r="A4" s="72" t="str">
        <x:v>SUP-A</x:v>
      </x:c>
      <x:c r="B4" s="72" t="str">
        <x:v>Supplier A</x:v>
      </x:c>
      <x:c r="C4" s="72" t="str">
        <x:v>상해</x:v>
      </x:c>
      <x:c r="D4" s="72" t="str">
        <x:v>중국</x:v>
      </x:c>
      <x:c r="E4" s="73" t="n">
        <x:v>20</x:v>
      </x:c>
      <x:c r="F4" s="73" t="n">
        <x:v>5</x:v>
      </x:c>
      <x:c r="G4" s="73" t="n">
        <x:v>15</x:v>
      </x:c>
      <x:c r="H4" s="73" t="n">
        <x:v>3</x:v>
      </x:c>
      <x:c r="I4" s="73" t="n">
        <x:v>2</x:v>
      </x:c>
      <x:c r="J4" s="75" t="n">
        <x:f>IF(A4="","",SUM(E4:I4))</x:f>
        <x:v>45</x:v>
      </x:c>
      <x:c r="K4" s="72" t="str">
        <x:v>매월 5일</x:v>
      </x:c>
      <x:c r="L4" s="72" t="str">
        <x:v>해상</x:v>
      </x:c>
      <x:c r="M4" s="72" t="str">
        <x:v>FOB</x:v>
      </x:c>
      <x:c r="N4" s="72" t="str">
        <x:v>Y</x:v>
      </x:c>
      <x:c r="O4" s="72" t="str">
        <x:v>N</x:v>
      </x:c>
      <x:c r="P4" s="72" t="str"/>
      <x:c r="Q4" s="72" t="str"/>
    </x:row>
    <x:row r="5">
      <x:c r="A5" s="72" t="str">
        <x:v>SUP-B</x:v>
      </x:c>
      <x:c r="B5" s="72" t="str">
        <x:v>Supplier B</x:v>
      </x:c>
      <x:c r="C5" s="72" t="str">
        <x:v>심천</x:v>
      </x:c>
      <x:c r="D5" s="72" t="str">
        <x:v>중국</x:v>
      </x:c>
      <x:c r="E5" s="73" t="n">
        <x:v>20</x:v>
      </x:c>
      <x:c r="F5" s="73" t="n">
        <x:v>5</x:v>
      </x:c>
      <x:c r="G5" s="73" t="n">
        <x:v>15</x:v>
      </x:c>
      <x:c r="H5" s="73" t="n">
        <x:v>3</x:v>
      </x:c>
      <x:c r="I5" s="73" t="n">
        <x:v>2</x:v>
      </x:c>
      <x:c r="J5" s="75" t="n">
        <x:f>IF(A5="","",SUM(E5:I5))</x:f>
        <x:v>45</x:v>
      </x:c>
      <x:c r="K5" s="72" t="str">
        <x:v>매월 5일</x:v>
      </x:c>
      <x:c r="L5" s="72" t="str">
        <x:v>해상</x:v>
      </x:c>
      <x:c r="M5" s="72" t="str">
        <x:v>FOB</x:v>
      </x:c>
      <x:c r="N5" s="72" t="str">
        <x:v>Y</x:v>
      </x:c>
      <x:c r="O5" s="72" t="str">
        <x:v>N</x:v>
      </x:c>
      <x:c r="P5" s="72" t="str"/>
      <x:c r="Q5" s="72" t="str"/>
    </x:row>
    <x:row r="6">
      <x:c r="A6" s="72" t="str">
        <x:v>SUP-C</x:v>
      </x:c>
      <x:c r="B6" s="72" t="str">
        <x:v>Supplier C</x:v>
      </x:c>
      <x:c r="C6" s="72" t="str">
        <x:v>베트남</x:v>
      </x:c>
      <x:c r="D6" s="72" t="str">
        <x:v>베트남</x:v>
      </x:c>
      <x:c r="E6" s="73" t="n">
        <x:v>30</x:v>
      </x:c>
      <x:c r="F6" s="73" t="n">
        <x:v>5</x:v>
      </x:c>
      <x:c r="G6" s="73" t="n">
        <x:v>15</x:v>
      </x:c>
      <x:c r="H6" s="73" t="n">
        <x:v>3</x:v>
      </x:c>
      <x:c r="I6" s="73" t="n">
        <x:v>2</x:v>
      </x:c>
      <x:c r="J6" s="75" t="n">
        <x:f>IF(A6="","",SUM(E6:I6))</x:f>
        <x:v>55</x:v>
      </x:c>
      <x:c r="K6" s="72" t="str">
        <x:v>매월 10일</x:v>
      </x:c>
      <x:c r="L6" s="72" t="str">
        <x:v>해상</x:v>
      </x:c>
      <x:c r="M6" s="72" t="str">
        <x:v>FOB</x:v>
      </x:c>
      <x:c r="N6" s="72" t="str">
        <x:v>Y</x:v>
      </x:c>
      <x:c r="O6" s="72" t="str">
        <x:v>Y</x:v>
      </x:c>
      <x:c r="P6" s="72" t="str"/>
      <x:c r="Q6" s="72" t="str"/>
    </x:row>
    <x:row r="7">
      <x:c r="A7" s="72" t="str">
        <x:v>SUP-D</x:v>
      </x:c>
      <x:c r="B7" s="72" t="str">
        <x:v>Supplier D</x:v>
      </x:c>
      <x:c r="C7" s="72" t="str">
        <x:v>도쿄</x:v>
      </x:c>
      <x:c r="D7" s="72" t="str">
        <x:v>일본</x:v>
      </x:c>
      <x:c r="E7" s="73" t="n">
        <x:v>10</x:v>
      </x:c>
      <x:c r="F7" s="73" t="n">
        <x:v>2</x:v>
      </x:c>
      <x:c r="G7" s="73" t="n">
        <x:v>3</x:v>
      </x:c>
      <x:c r="H7" s="73" t="n">
        <x:v>2</x:v>
      </x:c>
      <x:c r="I7" s="73" t="n">
        <x:v>1</x:v>
      </x:c>
      <x:c r="J7" s="75" t="n">
        <x:f>IF(A7="","",SUM(E7:I7))</x:f>
        <x:v>18</x:v>
      </x:c>
      <x:c r="K7" s="72" t="str">
        <x:v>매주 금요일</x:v>
      </x:c>
      <x:c r="L7" s="72" t="str">
        <x:v>항공</x:v>
      </x:c>
      <x:c r="M7" s="72" t="str">
        <x:v>CIP</x:v>
      </x:c>
      <x:c r="N7" s="72" t="str">
        <x:v>N</x:v>
      </x:c>
      <x:c r="O7" s="72" t="str">
        <x:v>Y</x:v>
      </x:c>
      <x:c r="P7" s="72" t="str"/>
      <x:c r="Q7" s="72" t="str"/>
    </x:row>
    <x:row r="8">
      <x:c r="A8" s="72" t="str">
        <x:v>SUP-E</x:v>
      </x:c>
      <x:c r="B8" s="72" t="str">
        <x:v>Supplier E</x:v>
      </x:c>
      <x:c r="C8" s="72" t="str">
        <x:v>네덜란드</x:v>
      </x:c>
      <x:c r="D8" s="72" t="str">
        <x:v>네덜란드</x:v>
      </x:c>
      <x:c r="E8" s="73" t="n">
        <x:v>35</x:v>
      </x:c>
      <x:c r="F8" s="73" t="n">
        <x:v>5</x:v>
      </x:c>
      <x:c r="G8" s="73" t="n">
        <x:v>25</x:v>
      </x:c>
      <x:c r="H8" s="73" t="n">
        <x:v>5</x:v>
      </x:c>
      <x:c r="I8" s="73" t="n">
        <x:v>2</x:v>
      </x:c>
      <x:c r="J8" s="75" t="n">
        <x:f>IF(A8="","",SUM(E8:I8))</x:f>
        <x:v>72</x:v>
      </x:c>
      <x:c r="K8" s="72" t="str">
        <x:v>매월 1일</x:v>
      </x:c>
      <x:c r="L8" s="72" t="str">
        <x:v>해상</x:v>
      </x:c>
      <x:c r="M8" s="72" t="str">
        <x:v>CIF</x:v>
      </x:c>
      <x:c r="N8" s="72" t="str">
        <x:v>Y</x:v>
      </x:c>
      <x:c r="O8" s="72" t="str">
        <x:v>N</x:v>
      </x:c>
      <x:c r="P8" s="72" t="str"/>
      <x:c r="Q8" s="72" t="str"/>
    </x:row>
    <x:row r="9">
      <x:c r="A9" s="72" t="str"/>
      <x:c r="B9" s="72" t="str"/>
      <x:c r="C9" s="72" t="str">
        <x:v>홍콩</x:v>
      </x:c>
      <x:c r="D9" s="72" t="str">
        <x:v>홍콩</x:v>
      </x:c>
      <x:c r="E9" s="73"/>
      <x:c r="F9" s="73"/>
      <x:c r="G9" s="73"/>
      <x:c r="H9" s="73"/>
      <x:c r="I9" s="73"/>
      <x:c r="J9" s="75" t="str">
        <x:f>IF(A9="","",SUM(E9:I9))</x:f>
      </x:c>
      <x:c r="K9" s="72" t="str"/>
      <x:c r="L9" s="72" t="str"/>
      <x:c r="M9" s="72" t="str"/>
      <x:c r="N9" s="72" t="str"/>
      <x:c r="O9" s="72" t="str"/>
      <x:c r="P9" s="72" t="str"/>
      <x:c r="Q9" s="72" t="str"/>
    </x:row>
    <x:row r="10">
      <x:c r="A10" s="72" t="str"/>
      <x:c r="B10" s="72" t="str"/>
      <x:c r="C10" s="72" t="str">
        <x:v>요코하마</x:v>
      </x:c>
      <x:c r="D10" s="72" t="str">
        <x:v>일본</x:v>
      </x:c>
      <x:c r="E10" s="73"/>
      <x:c r="F10" s="73"/>
      <x:c r="G10" s="73"/>
      <x:c r="H10" s="73"/>
      <x:c r="I10" s="73"/>
      <x:c r="J10" s="75" t="str">
        <x:f>IF(A10="","",SUM(E10:I10))</x:f>
      </x:c>
      <x:c r="K10" s="72" t="str"/>
      <x:c r="L10" s="72" t="str"/>
      <x:c r="M10" s="72" t="str"/>
      <x:c r="N10" s="72" t="str"/>
      <x:c r="O10" s="72" t="str"/>
      <x:c r="P10" s="72" t="str"/>
      <x:c r="Q10" s="72" t="str"/>
    </x:row>
    <x:row r="11">
      <x:c r="A11" s="72" t="str"/>
      <x:c r="B11" s="72" t="str"/>
      <x:c r="C11" s="72" t="str">
        <x:v>나고야</x:v>
      </x:c>
      <x:c r="D11" s="72" t="str">
        <x:v>일본</x:v>
      </x:c>
      <x:c r="E11" s="73"/>
      <x:c r="F11" s="73"/>
      <x:c r="G11" s="73"/>
      <x:c r="H11" s="73"/>
      <x:c r="I11" s="73"/>
      <x:c r="J11" s="75" t="str">
        <x:f>IF(A11="","",SUM(E11:I11))</x:f>
      </x:c>
      <x:c r="K11" s="72" t="str"/>
      <x:c r="L11" s="72" t="str"/>
      <x:c r="M11" s="72" t="str"/>
      <x:c r="N11" s="72" t="str"/>
      <x:c r="O11" s="72" t="str"/>
      <x:c r="P11" s="72" t="str"/>
      <x:c r="Q11" s="72" t="str"/>
    </x:row>
    <x:row r="12">
      <x:c r="A12" s="72"/>
      <x:c r="B12" s="72"/>
      <x:c r="C12" s="72"/>
      <x:c r="D12" s="72"/>
      <x:c r="E12" s="73"/>
      <x:c r="F12" s="73"/>
      <x:c r="G12" s="73"/>
      <x:c r="H12" s="73"/>
      <x:c r="I12" s="73"/>
      <x:c r="J12" s="75" t="str">
        <x:f>IF(A12="","",SUM(E12:I12))</x:f>
      </x:c>
      <x:c r="K12" s="72"/>
      <x:c r="L12" s="72"/>
      <x:c r="M12" s="72"/>
      <x:c r="N12" s="72"/>
      <x:c r="O12" s="72"/>
      <x:c r="P12" s="72"/>
      <x:c r="Q12" s="72"/>
    </x:row>
    <x:row r="13">
      <x:c r="A13" s="72"/>
      <x:c r="B13" s="72"/>
      <x:c r="C13" s="72"/>
      <x:c r="D13" s="72"/>
      <x:c r="E13" s="73"/>
      <x:c r="F13" s="73"/>
      <x:c r="G13" s="73"/>
      <x:c r="H13" s="73"/>
      <x:c r="I13" s="73"/>
      <x:c r="J13" s="75" t="str">
        <x:f>IF(A13="","",SUM(E13:I13))</x:f>
      </x:c>
      <x:c r="K13" s="72"/>
      <x:c r="L13" s="72"/>
      <x:c r="M13" s="72"/>
      <x:c r="N13" s="72"/>
      <x:c r="O13" s="72"/>
      <x:c r="P13" s="72"/>
      <x:c r="Q13" s="72"/>
    </x:row>
    <x:row r="14">
      <x:c r="A14" s="72"/>
      <x:c r="B14" s="72"/>
      <x:c r="C14" s="72"/>
      <x:c r="D14" s="72"/>
      <x:c r="E14" s="73"/>
      <x:c r="F14" s="73"/>
      <x:c r="G14" s="73"/>
      <x:c r="H14" s="73"/>
      <x:c r="I14" s="73"/>
      <x:c r="J14" s="75" t="str">
        <x:f>IF(A14="","",SUM(E14:I14))</x:f>
      </x:c>
      <x:c r="K14" s="72"/>
      <x:c r="L14" s="72"/>
      <x:c r="M14" s="72"/>
      <x:c r="N14" s="72"/>
      <x:c r="O14" s="72"/>
      <x:c r="P14" s="72"/>
      <x:c r="Q14" s="72"/>
    </x:row>
    <x:row r="15">
      <x:c r="A15" s="72"/>
      <x:c r="B15" s="72"/>
      <x:c r="C15" s="72"/>
      <x:c r="D15" s="72"/>
      <x:c r="E15" s="73"/>
      <x:c r="F15" s="73"/>
      <x:c r="G15" s="73"/>
      <x:c r="H15" s="73"/>
      <x:c r="I15" s="73"/>
      <x:c r="J15" s="75" t="str">
        <x:f>IF(A15="","",SUM(E15:I15))</x:f>
      </x:c>
      <x:c r="K15" s="72"/>
      <x:c r="L15" s="72"/>
      <x:c r="M15" s="72"/>
      <x:c r="N15" s="72"/>
      <x:c r="O15" s="72"/>
      <x:c r="P15" s="72"/>
      <x:c r="Q15" s="72"/>
    </x:row>
    <x:row r="16">
      <x:c r="A16" s="72"/>
      <x:c r="B16" s="72"/>
      <x:c r="C16" s="72"/>
      <x:c r="D16" s="72"/>
      <x:c r="E16" s="73"/>
      <x:c r="F16" s="73"/>
      <x:c r="G16" s="73"/>
      <x:c r="H16" s="73"/>
      <x:c r="I16" s="73"/>
      <x:c r="J16" s="75" t="str">
        <x:f>IF(A16="","",SUM(E16:I16))</x:f>
      </x:c>
      <x:c r="K16" s="72"/>
      <x:c r="L16" s="72"/>
      <x:c r="M16" s="72"/>
      <x:c r="N16" s="72"/>
      <x:c r="O16" s="72"/>
      <x:c r="P16" s="72"/>
      <x:c r="Q16" s="72"/>
    </x:row>
    <x:row r="17">
      <x:c r="A17" s="72"/>
      <x:c r="B17" s="72"/>
      <x:c r="C17" s="72"/>
      <x:c r="D17" s="72"/>
      <x:c r="E17" s="73"/>
      <x:c r="F17" s="73"/>
      <x:c r="G17" s="73"/>
      <x:c r="H17" s="73"/>
      <x:c r="I17" s="73"/>
      <x:c r="J17" s="75" t="str">
        <x:f>IF(A17="","",SUM(E17:I17))</x:f>
      </x:c>
      <x:c r="K17" s="72"/>
      <x:c r="L17" s="72"/>
      <x:c r="M17" s="72"/>
      <x:c r="N17" s="72"/>
      <x:c r="O17" s="72"/>
      <x:c r="P17" s="72"/>
      <x:c r="Q17" s="72"/>
    </x:row>
    <x:row r="18">
      <x:c r="A18" s="72"/>
      <x:c r="B18" s="72"/>
      <x:c r="C18" s="72"/>
      <x:c r="D18" s="72"/>
      <x:c r="E18" s="73"/>
      <x:c r="F18" s="73"/>
      <x:c r="G18" s="73"/>
      <x:c r="H18" s="73"/>
      <x:c r="I18" s="73"/>
      <x:c r="J18" s="75" t="str">
        <x:f>IF(A18="","",SUM(E18:I18))</x:f>
      </x:c>
      <x:c r="K18" s="72"/>
      <x:c r="L18" s="72"/>
      <x:c r="M18" s="72"/>
      <x:c r="N18" s="72"/>
      <x:c r="O18" s="72"/>
      <x:c r="P18" s="72"/>
      <x:c r="Q18" s="72"/>
    </x:row>
    <x:row r="19">
      <x:c r="A19" s="72"/>
      <x:c r="B19" s="72"/>
      <x:c r="C19" s="72"/>
      <x:c r="D19" s="72"/>
      <x:c r="E19" s="73"/>
      <x:c r="F19" s="73"/>
      <x:c r="G19" s="73"/>
      <x:c r="H19" s="73"/>
      <x:c r="I19" s="73"/>
      <x:c r="J19" s="75" t="str">
        <x:f>IF(A19="","",SUM(E19:I19))</x:f>
      </x:c>
      <x:c r="K19" s="72"/>
      <x:c r="L19" s="72"/>
      <x:c r="M19" s="72"/>
      <x:c r="N19" s="72"/>
      <x:c r="O19" s="72"/>
      <x:c r="P19" s="72"/>
      <x:c r="Q19" s="72"/>
    </x:row>
    <x:row r="20">
      <x:c r="A20" s="72"/>
      <x:c r="B20" s="72"/>
      <x:c r="C20" s="72"/>
      <x:c r="D20" s="72"/>
      <x:c r="E20" s="73"/>
      <x:c r="F20" s="73"/>
      <x:c r="G20" s="73"/>
      <x:c r="H20" s="73"/>
      <x:c r="I20" s="73"/>
      <x:c r="J20" s="75" t="str">
        <x:f>IF(A20="","",SUM(E20:I20))</x:f>
      </x:c>
      <x:c r="K20" s="72"/>
      <x:c r="L20" s="72"/>
      <x:c r="M20" s="72"/>
      <x:c r="N20" s="72"/>
      <x:c r="O20" s="72"/>
      <x:c r="P20" s="72"/>
      <x:c r="Q20" s="72"/>
    </x:row>
    <x:row r="21">
      <x:c r="A21" s="72"/>
      <x:c r="B21" s="72"/>
      <x:c r="C21" s="72"/>
      <x:c r="D21" s="72"/>
      <x:c r="E21" s="73"/>
      <x:c r="F21" s="73"/>
      <x:c r="G21" s="73"/>
      <x:c r="H21" s="73"/>
      <x:c r="I21" s="73"/>
      <x:c r="J21" s="75" t="str">
        <x:f>IF(A21="","",SUM(E21:I21))</x:f>
      </x:c>
      <x:c r="K21" s="72"/>
      <x:c r="L21" s="72"/>
      <x:c r="M21" s="72"/>
      <x:c r="N21" s="72"/>
      <x:c r="O21" s="72"/>
      <x:c r="P21" s="72"/>
      <x:c r="Q21" s="72"/>
    </x:row>
    <x:row r="22">
      <x:c r="A22" s="72"/>
      <x:c r="B22" s="72"/>
      <x:c r="C22" s="72"/>
      <x:c r="D22" s="72"/>
      <x:c r="E22" s="73"/>
      <x:c r="F22" s="73"/>
      <x:c r="G22" s="73"/>
      <x:c r="H22" s="73"/>
      <x:c r="I22" s="73"/>
      <x:c r="J22" s="75" t="str">
        <x:f>IF(A22="","",SUM(E22:I22))</x:f>
      </x:c>
      <x:c r="K22" s="72"/>
      <x:c r="L22" s="72"/>
      <x:c r="M22" s="72"/>
      <x:c r="N22" s="72"/>
      <x:c r="O22" s="72"/>
      <x:c r="P22" s="72"/>
      <x:c r="Q22" s="72"/>
    </x:row>
    <x:row r="23">
      <x:c r="A23" s="72"/>
      <x:c r="B23" s="72"/>
      <x:c r="C23" s="72"/>
      <x:c r="D23" s="72"/>
      <x:c r="E23" s="73"/>
      <x:c r="F23" s="73"/>
      <x:c r="G23" s="73"/>
      <x:c r="H23" s="73"/>
      <x:c r="I23" s="73"/>
      <x:c r="J23" s="75" t="str">
        <x:f>IF(A23="","",SUM(E23:I23))</x:f>
      </x:c>
      <x:c r="K23" s="72"/>
      <x:c r="L23" s="72"/>
      <x:c r="M23" s="72"/>
      <x:c r="N23" s="72"/>
      <x:c r="O23" s="72"/>
      <x:c r="P23" s="72"/>
      <x:c r="Q23" s="72"/>
    </x:row>
    <x:row r="24">
      <x:c r="A24" s="72"/>
      <x:c r="B24" s="72"/>
      <x:c r="C24" s="72"/>
      <x:c r="D24" s="72"/>
      <x:c r="E24" s="73"/>
      <x:c r="F24" s="73"/>
      <x:c r="G24" s="73"/>
      <x:c r="H24" s="73"/>
      <x:c r="I24" s="73"/>
      <x:c r="J24" s="75" t="str">
        <x:f>IF(A24="","",SUM(E24:I24))</x:f>
      </x:c>
      <x:c r="K24" s="72"/>
      <x:c r="L24" s="72"/>
      <x:c r="M24" s="72"/>
      <x:c r="N24" s="72"/>
      <x:c r="O24" s="72"/>
      <x:c r="P24" s="72"/>
      <x:c r="Q24" s="72"/>
    </x:row>
    <x:row r="25">
      <x:c r="A25" s="72"/>
      <x:c r="B25" s="72"/>
      <x:c r="C25" s="72"/>
      <x:c r="D25" s="72"/>
      <x:c r="E25" s="73"/>
      <x:c r="F25" s="73"/>
      <x:c r="G25" s="73"/>
      <x:c r="H25" s="73"/>
      <x:c r="I25" s="73"/>
      <x:c r="J25" s="75" t="str">
        <x:f>IF(A25="","",SUM(E25:I25))</x:f>
      </x:c>
      <x:c r="K25" s="72"/>
      <x:c r="L25" s="72"/>
      <x:c r="M25" s="72"/>
      <x:c r="N25" s="72"/>
      <x:c r="O25" s="72"/>
      <x:c r="P25" s="72"/>
      <x:c r="Q25" s="72"/>
    </x:row>
    <x:row r="26">
      <x:c r="A26" s="72"/>
      <x:c r="B26" s="72"/>
      <x:c r="C26" s="72"/>
      <x:c r="D26" s="72"/>
      <x:c r="E26" s="73"/>
      <x:c r="F26" s="73"/>
      <x:c r="G26" s="73"/>
      <x:c r="H26" s="73"/>
      <x:c r="I26" s="73"/>
      <x:c r="J26" s="75" t="str">
        <x:f>IF(A26="","",SUM(E26:I26))</x:f>
      </x:c>
      <x:c r="K26" s="72"/>
      <x:c r="L26" s="72"/>
      <x:c r="M26" s="72"/>
      <x:c r="N26" s="72"/>
      <x:c r="O26" s="72"/>
      <x:c r="P26" s="72"/>
      <x:c r="Q26" s="72"/>
    </x:row>
    <x:row r="27">
      <x:c r="A27" s="72"/>
      <x:c r="B27" s="72"/>
      <x:c r="C27" s="72"/>
      <x:c r="D27" s="72"/>
      <x:c r="E27" s="73"/>
      <x:c r="F27" s="73"/>
      <x:c r="G27" s="73"/>
      <x:c r="H27" s="73"/>
      <x:c r="I27" s="73"/>
      <x:c r="J27" s="75" t="str">
        <x:f>IF(A27="","",SUM(E27:I27))</x:f>
      </x:c>
      <x:c r="K27" s="72"/>
      <x:c r="L27" s="72"/>
      <x:c r="M27" s="72"/>
      <x:c r="N27" s="72"/>
      <x:c r="O27" s="72"/>
      <x:c r="P27" s="72"/>
      <x:c r="Q27" s="72"/>
    </x:row>
    <x:row r="28">
      <x:c r="A28" s="72"/>
      <x:c r="B28" s="72"/>
      <x:c r="C28" s="72"/>
      <x:c r="D28" s="72"/>
      <x:c r="E28" s="73"/>
      <x:c r="F28" s="73"/>
      <x:c r="G28" s="73"/>
      <x:c r="H28" s="73"/>
      <x:c r="I28" s="73"/>
      <x:c r="J28" s="75" t="str">
        <x:f>IF(A28="","",SUM(E28:I28))</x:f>
      </x:c>
      <x:c r="K28" s="72"/>
      <x:c r="L28" s="72"/>
      <x:c r="M28" s="72"/>
      <x:c r="N28" s="72"/>
      <x:c r="O28" s="72"/>
      <x:c r="P28" s="72"/>
      <x:c r="Q28" s="72"/>
    </x:row>
    <x:row r="29">
      <x:c r="A29" s="72"/>
      <x:c r="B29" s="72"/>
      <x:c r="C29" s="72"/>
      <x:c r="D29" s="72"/>
      <x:c r="E29" s="73"/>
      <x:c r="F29" s="73"/>
      <x:c r="G29" s="73"/>
      <x:c r="H29" s="73"/>
      <x:c r="I29" s="73"/>
      <x:c r="J29" s="75" t="str">
        <x:f>IF(A29="","",SUM(E29:I29))</x:f>
      </x:c>
      <x:c r="K29" s="72"/>
      <x:c r="L29" s="72"/>
      <x:c r="M29" s="72"/>
      <x:c r="N29" s="72"/>
      <x:c r="O29" s="72"/>
      <x:c r="P29" s="72"/>
      <x:c r="Q29" s="72"/>
    </x:row>
    <x:row r="30">
      <x:c r="A30" s="72"/>
      <x:c r="B30" s="72"/>
      <x:c r="C30" s="72"/>
      <x:c r="D30" s="72"/>
      <x:c r="E30" s="73"/>
      <x:c r="F30" s="73"/>
      <x:c r="G30" s="73"/>
      <x:c r="H30" s="73"/>
      <x:c r="I30" s="73"/>
      <x:c r="J30" s="75" t="str">
        <x:f>IF(A30="","",SUM(E30:I30))</x:f>
      </x:c>
      <x:c r="K30" s="72"/>
      <x:c r="L30" s="72"/>
      <x:c r="M30" s="72"/>
      <x:c r="N30" s="72"/>
      <x:c r="O30" s="72"/>
      <x:c r="P30" s="72"/>
      <x:c r="Q30" s="72"/>
    </x:row>
    <x:row r="31">
      <x:c r="A31" s="72"/>
      <x:c r="B31" s="72"/>
      <x:c r="C31" s="72"/>
      <x:c r="D31" s="72"/>
      <x:c r="E31" s="73"/>
      <x:c r="F31" s="73"/>
      <x:c r="G31" s="73"/>
      <x:c r="H31" s="73"/>
      <x:c r="I31" s="73"/>
      <x:c r="J31" s="75" t="str">
        <x:f>IF(A31="","",SUM(E31:I31))</x:f>
      </x:c>
      <x:c r="K31" s="72"/>
      <x:c r="L31" s="72"/>
      <x:c r="M31" s="72"/>
      <x:c r="N31" s="72"/>
      <x:c r="O31" s="72"/>
      <x:c r="P31" s="72"/>
      <x:c r="Q31" s="72"/>
    </x:row>
    <x:row r="32">
      <x:c r="A32" s="72"/>
      <x:c r="B32" s="72"/>
      <x:c r="C32" s="72"/>
      <x:c r="D32" s="72"/>
      <x:c r="E32" s="73"/>
      <x:c r="F32" s="73"/>
      <x:c r="G32" s="73"/>
      <x:c r="H32" s="73"/>
      <x:c r="I32" s="73"/>
      <x:c r="J32" s="75" t="str">
        <x:f>IF(A32="","",SUM(E32:I32))</x:f>
      </x:c>
      <x:c r="K32" s="72"/>
      <x:c r="L32" s="72"/>
      <x:c r="M32" s="72"/>
      <x:c r="N32" s="72"/>
      <x:c r="O32" s="72"/>
      <x:c r="P32" s="72"/>
      <x:c r="Q32" s="72"/>
    </x:row>
    <x:row r="33">
      <x:c r="A33" s="72"/>
      <x:c r="B33" s="72"/>
      <x:c r="C33" s="72"/>
      <x:c r="D33" s="72"/>
      <x:c r="E33" s="73"/>
      <x:c r="F33" s="73"/>
      <x:c r="G33" s="73"/>
      <x:c r="H33" s="73"/>
      <x:c r="I33" s="73"/>
      <x:c r="J33" s="75" t="str">
        <x:f>IF(A33="","",SUM(E33:I33))</x:f>
      </x:c>
      <x:c r="K33" s="72"/>
      <x:c r="L33" s="72"/>
      <x:c r="M33" s="72"/>
      <x:c r="N33" s="72"/>
      <x:c r="O33" s="72"/>
      <x:c r="P33" s="72"/>
      <x:c r="Q33" s="72"/>
    </x:row>
    <x:row r="34">
      <x:c r="A34" s="72"/>
      <x:c r="B34" s="72"/>
      <x:c r="C34" s="72"/>
      <x:c r="D34" s="72"/>
      <x:c r="E34" s="73"/>
      <x:c r="F34" s="73"/>
      <x:c r="G34" s="73"/>
      <x:c r="H34" s="73"/>
      <x:c r="I34" s="73"/>
      <x:c r="J34" s="75" t="str">
        <x:f>IF(A34="","",SUM(E34:I34))</x:f>
      </x:c>
      <x:c r="K34" s="72"/>
      <x:c r="L34" s="72"/>
      <x:c r="M34" s="72"/>
      <x:c r="N34" s="72"/>
      <x:c r="O34" s="72"/>
      <x:c r="P34" s="72"/>
      <x:c r="Q34" s="72"/>
    </x:row>
    <x:row r="35">
      <x:c r="A35" s="72"/>
      <x:c r="B35" s="72"/>
      <x:c r="C35" s="72"/>
      <x:c r="D35" s="72"/>
      <x:c r="E35" s="73"/>
      <x:c r="F35" s="73"/>
      <x:c r="G35" s="73"/>
      <x:c r="H35" s="73"/>
      <x:c r="I35" s="73"/>
      <x:c r="J35" s="75" t="str">
        <x:f>IF(A35="","",SUM(E35:I35))</x:f>
      </x:c>
      <x:c r="K35" s="72"/>
      <x:c r="L35" s="72"/>
      <x:c r="M35" s="72"/>
      <x:c r="N35" s="72"/>
      <x:c r="O35" s="72"/>
      <x:c r="P35" s="72"/>
      <x:c r="Q35" s="72"/>
    </x:row>
    <x:row r="36">
      <x:c r="A36" s="72"/>
      <x:c r="B36" s="72"/>
      <x:c r="C36" s="72"/>
      <x:c r="D36" s="72"/>
      <x:c r="E36" s="73"/>
      <x:c r="F36" s="73"/>
      <x:c r="G36" s="73"/>
      <x:c r="H36" s="73"/>
      <x:c r="I36" s="73"/>
      <x:c r="J36" s="75" t="str">
        <x:f>IF(A36="","",SUM(E36:I36))</x:f>
      </x:c>
      <x:c r="K36" s="72"/>
      <x:c r="L36" s="72"/>
      <x:c r="M36" s="72"/>
      <x:c r="N36" s="72"/>
      <x:c r="O36" s="72"/>
      <x:c r="P36" s="72"/>
      <x:c r="Q36" s="72"/>
    </x:row>
    <x:row r="37">
      <x:c r="A37" s="72"/>
      <x:c r="B37" s="72"/>
      <x:c r="C37" s="72"/>
      <x:c r="D37" s="72"/>
      <x:c r="E37" s="73"/>
      <x:c r="F37" s="73"/>
      <x:c r="G37" s="73"/>
      <x:c r="H37" s="73"/>
      <x:c r="I37" s="73"/>
      <x:c r="J37" s="75" t="str">
        <x:f>IF(A37="","",SUM(E37:I37))</x:f>
      </x:c>
      <x:c r="K37" s="72"/>
      <x:c r="L37" s="72"/>
      <x:c r="M37" s="72"/>
      <x:c r="N37" s="72"/>
      <x:c r="O37" s="72"/>
      <x:c r="P37" s="72"/>
      <x:c r="Q37" s="72"/>
    </x:row>
    <x:row r="38">
      <x:c r="A38" s="72"/>
      <x:c r="B38" s="72"/>
      <x:c r="C38" s="72"/>
      <x:c r="D38" s="72"/>
      <x:c r="E38" s="73"/>
      <x:c r="F38" s="73"/>
      <x:c r="G38" s="73"/>
      <x:c r="H38" s="73"/>
      <x:c r="I38" s="73"/>
      <x:c r="J38" s="75" t="str">
        <x:f>IF(A38="","",SUM(E38:I38))</x:f>
      </x:c>
      <x:c r="K38" s="72"/>
      <x:c r="L38" s="72"/>
      <x:c r="M38" s="72"/>
      <x:c r="N38" s="72"/>
      <x:c r="O38" s="72"/>
      <x:c r="P38" s="72"/>
      <x:c r="Q38" s="72"/>
    </x:row>
    <x:row r="39">
      <x:c r="A39" s="72"/>
      <x:c r="B39" s="72"/>
      <x:c r="C39" s="72"/>
      <x:c r="D39" s="72"/>
      <x:c r="E39" s="73"/>
      <x:c r="F39" s="73"/>
      <x:c r="G39" s="73"/>
      <x:c r="H39" s="73"/>
      <x:c r="I39" s="73"/>
      <x:c r="J39" s="75" t="str">
        <x:f>IF(A39="","",SUM(E39:I39))</x:f>
      </x:c>
      <x:c r="K39" s="72"/>
      <x:c r="L39" s="72"/>
      <x:c r="M39" s="72"/>
      <x:c r="N39" s="72"/>
      <x:c r="O39" s="72"/>
      <x:c r="P39" s="72"/>
      <x:c r="Q39" s="72"/>
    </x:row>
    <x:row r="40">
      <x:c r="A40" s="72"/>
      <x:c r="B40" s="72"/>
      <x:c r="C40" s="72"/>
      <x:c r="D40" s="72"/>
      <x:c r="E40" s="73"/>
      <x:c r="F40" s="73"/>
      <x:c r="G40" s="73"/>
      <x:c r="H40" s="73"/>
      <x:c r="I40" s="73"/>
      <x:c r="J40" s="75" t="str">
        <x:f>IF(A40="","",SUM(E40:I40))</x:f>
      </x:c>
      <x:c r="K40" s="72"/>
      <x:c r="L40" s="72"/>
      <x:c r="M40" s="72"/>
      <x:c r="N40" s="72"/>
      <x:c r="O40" s="72"/>
      <x:c r="P40" s="72"/>
      <x:c r="Q40" s="72"/>
    </x:row>
    <x:row r="41">
      <x:c r="A41" s="72"/>
      <x:c r="B41" s="72"/>
      <x:c r="C41" s="72"/>
      <x:c r="D41" s="72"/>
      <x:c r="E41" s="73"/>
      <x:c r="F41" s="73"/>
      <x:c r="G41" s="73"/>
      <x:c r="H41" s="73"/>
      <x:c r="I41" s="73"/>
      <x:c r="J41" s="75" t="str">
        <x:f>IF(A41="","",SUM(E41:I41))</x:f>
      </x:c>
      <x:c r="K41" s="72"/>
      <x:c r="L41" s="72"/>
      <x:c r="M41" s="72"/>
      <x:c r="N41" s="72"/>
      <x:c r="O41" s="72"/>
      <x:c r="P41" s="72"/>
      <x:c r="Q41" s="72"/>
    </x:row>
    <x:row r="42">
      <x:c r="A42" s="72"/>
      <x:c r="B42" s="72"/>
      <x:c r="C42" s="72"/>
      <x:c r="D42" s="72"/>
      <x:c r="E42" s="73"/>
      <x:c r="F42" s="73"/>
      <x:c r="G42" s="73"/>
      <x:c r="H42" s="73"/>
      <x:c r="I42" s="73"/>
      <x:c r="J42" s="75" t="str">
        <x:f>IF(A42="","",SUM(E42:I42))</x:f>
      </x:c>
      <x:c r="K42" s="72"/>
      <x:c r="L42" s="72"/>
      <x:c r="M42" s="72"/>
      <x:c r="N42" s="72"/>
      <x:c r="O42" s="72"/>
      <x:c r="P42" s="72"/>
      <x:c r="Q42" s="72"/>
    </x:row>
    <x:row r="43">
      <x:c r="A43" s="72"/>
      <x:c r="B43" s="72"/>
      <x:c r="C43" s="72"/>
      <x:c r="D43" s="72"/>
      <x:c r="E43" s="73"/>
      <x:c r="F43" s="73"/>
      <x:c r="G43" s="73"/>
      <x:c r="H43" s="73"/>
      <x:c r="I43" s="73"/>
      <x:c r="J43" s="75" t="str">
        <x:f>IF(A43="","",SUM(E43:I43))</x:f>
      </x:c>
      <x:c r="K43" s="72"/>
      <x:c r="L43" s="72"/>
      <x:c r="M43" s="72"/>
      <x:c r="N43" s="72"/>
      <x:c r="O43" s="72"/>
      <x:c r="P43" s="72"/>
      <x:c r="Q43" s="72"/>
    </x:row>
    <x:row r="44">
      <x:c r="A44" s="72"/>
      <x:c r="B44" s="72"/>
      <x:c r="C44" s="72"/>
      <x:c r="D44" s="72"/>
      <x:c r="E44" s="73"/>
      <x:c r="F44" s="73"/>
      <x:c r="G44" s="73"/>
      <x:c r="H44" s="73"/>
      <x:c r="I44" s="73"/>
      <x:c r="J44" s="75" t="str">
        <x:f>IF(A44="","",SUM(E44:I44))</x:f>
      </x:c>
      <x:c r="K44" s="72"/>
      <x:c r="L44" s="72"/>
      <x:c r="M44" s="72"/>
      <x:c r="N44" s="72"/>
      <x:c r="O44" s="72"/>
      <x:c r="P44" s="72"/>
      <x:c r="Q44" s="72"/>
    </x:row>
    <x:row r="45">
      <x:c r="A45" s="72"/>
      <x:c r="B45" s="72"/>
      <x:c r="C45" s="72"/>
      <x:c r="D45" s="72"/>
      <x:c r="E45" s="73"/>
      <x:c r="F45" s="73"/>
      <x:c r="G45" s="73"/>
      <x:c r="H45" s="73"/>
      <x:c r="I45" s="73"/>
      <x:c r="J45" s="75" t="str">
        <x:f>IF(A45="","",SUM(E45:I45))</x:f>
      </x:c>
      <x:c r="K45" s="72"/>
      <x:c r="L45" s="72"/>
      <x:c r="M45" s="72"/>
      <x:c r="N45" s="72"/>
      <x:c r="O45" s="72"/>
      <x:c r="P45" s="72"/>
      <x:c r="Q45" s="72"/>
    </x:row>
    <x:row r="46">
      <x:c r="A46" s="72"/>
      <x:c r="B46" s="72"/>
      <x:c r="C46" s="72"/>
      <x:c r="D46" s="72"/>
      <x:c r="E46" s="73"/>
      <x:c r="F46" s="73"/>
      <x:c r="G46" s="73"/>
      <x:c r="H46" s="73"/>
      <x:c r="I46" s="73"/>
      <x:c r="J46" s="75" t="str">
        <x:f>IF(A46="","",SUM(E46:I46))</x:f>
      </x:c>
      <x:c r="K46" s="72"/>
      <x:c r="L46" s="72"/>
      <x:c r="M46" s="72"/>
      <x:c r="N46" s="72"/>
      <x:c r="O46" s="72"/>
      <x:c r="P46" s="72"/>
      <x:c r="Q46" s="72"/>
    </x:row>
    <x:row r="47">
      <x:c r="A47" s="72"/>
      <x:c r="B47" s="72"/>
      <x:c r="C47" s="72"/>
      <x:c r="D47" s="72"/>
      <x:c r="E47" s="73"/>
      <x:c r="F47" s="73"/>
      <x:c r="G47" s="73"/>
      <x:c r="H47" s="73"/>
      <x:c r="I47" s="73"/>
      <x:c r="J47" s="75" t="str">
        <x:f>IF(A47="","",SUM(E47:I47))</x:f>
      </x:c>
      <x:c r="K47" s="72"/>
      <x:c r="L47" s="72"/>
      <x:c r="M47" s="72"/>
      <x:c r="N47" s="72"/>
      <x:c r="O47" s="72"/>
      <x:c r="P47" s="72"/>
      <x:c r="Q47" s="72"/>
    </x:row>
    <x:row r="48">
      <x:c r="A48" s="72"/>
      <x:c r="B48" s="72"/>
      <x:c r="C48" s="72"/>
      <x:c r="D48" s="72"/>
      <x:c r="E48" s="73"/>
      <x:c r="F48" s="73"/>
      <x:c r="G48" s="73"/>
      <x:c r="H48" s="73"/>
      <x:c r="I48" s="73"/>
      <x:c r="J48" s="75" t="str">
        <x:f>IF(A48="","",SUM(E48:I48))</x:f>
      </x:c>
      <x:c r="K48" s="72"/>
      <x:c r="L48" s="72"/>
      <x:c r="M48" s="72"/>
      <x:c r="N48" s="72"/>
      <x:c r="O48" s="72"/>
      <x:c r="P48" s="72"/>
      <x:c r="Q48" s="72"/>
    </x:row>
    <x:row r="49">
      <x:c r="A49" s="72"/>
      <x:c r="B49" s="72"/>
      <x:c r="C49" s="72"/>
      <x:c r="D49" s="72"/>
      <x:c r="E49" s="73"/>
      <x:c r="F49" s="73"/>
      <x:c r="G49" s="73"/>
      <x:c r="H49" s="73"/>
      <x:c r="I49" s="73"/>
      <x:c r="J49" s="75" t="str">
        <x:f>IF(A49="","",SUM(E49:I49))</x:f>
      </x:c>
      <x:c r="K49" s="72"/>
      <x:c r="L49" s="72"/>
      <x:c r="M49" s="72"/>
      <x:c r="N49" s="72"/>
      <x:c r="O49" s="72"/>
      <x:c r="P49" s="72"/>
      <x:c r="Q49" s="72"/>
    </x:row>
    <x:row r="50">
      <x:c r="A50" s="72"/>
      <x:c r="B50" s="72"/>
      <x:c r="C50" s="72"/>
      <x:c r="D50" s="72"/>
      <x:c r="E50" s="73"/>
      <x:c r="F50" s="73"/>
      <x:c r="G50" s="73"/>
      <x:c r="H50" s="73"/>
      <x:c r="I50" s="73"/>
      <x:c r="J50" s="75" t="str">
        <x:f>IF(A50="","",SUM(E50:I50))</x:f>
      </x:c>
      <x:c r="K50" s="72"/>
      <x:c r="L50" s="72"/>
      <x:c r="M50" s="72"/>
      <x:c r="N50" s="72"/>
      <x:c r="O50" s="72"/>
      <x:c r="P50" s="72"/>
      <x:c r="Q50" s="72"/>
    </x:row>
    <x:row r="51">
      <x:c r="A51" s="72"/>
      <x:c r="B51" s="72"/>
      <x:c r="C51" s="72"/>
      <x:c r="D51" s="72"/>
      <x:c r="E51" s="73"/>
      <x:c r="F51" s="73"/>
      <x:c r="G51" s="73"/>
      <x:c r="H51" s="73"/>
      <x:c r="I51" s="73"/>
      <x:c r="J51" s="75" t="str">
        <x:f>IF(A51="","",SUM(E51:I51))</x:f>
      </x:c>
      <x:c r="K51" s="72"/>
      <x:c r="L51" s="72"/>
      <x:c r="M51" s="72"/>
      <x:c r="N51" s="72"/>
      <x:c r="O51" s="72"/>
      <x:c r="P51" s="72"/>
      <x:c r="Q51" s="72"/>
    </x:row>
    <x:row r="52">
      <x:c r="A52" s="72"/>
      <x:c r="B52" s="72"/>
      <x:c r="C52" s="72"/>
      <x:c r="D52" s="72"/>
      <x:c r="E52" s="73"/>
      <x:c r="F52" s="73"/>
      <x:c r="G52" s="73"/>
      <x:c r="H52" s="73"/>
      <x:c r="I52" s="73"/>
      <x:c r="J52" s="75" t="str">
        <x:f>IF(A52="","",SUM(E52:I52))</x:f>
      </x:c>
      <x:c r="K52" s="72"/>
      <x:c r="L52" s="72"/>
      <x:c r="M52" s="72"/>
      <x:c r="N52" s="72"/>
      <x:c r="O52" s="72"/>
      <x:c r="P52" s="72"/>
      <x:c r="Q52" s="72"/>
    </x:row>
    <x:row r="53">
      <x:c r="A53" s="72"/>
      <x:c r="B53" s="72"/>
      <x:c r="C53" s="72"/>
      <x:c r="D53" s="72"/>
      <x:c r="E53" s="73"/>
      <x:c r="F53" s="73"/>
      <x:c r="G53" s="73"/>
      <x:c r="H53" s="73"/>
      <x:c r="I53" s="73"/>
      <x:c r="J53" s="75" t="str">
        <x:f>IF(A53="","",SUM(E53:I53))</x:f>
      </x:c>
      <x:c r="K53" s="72"/>
      <x:c r="L53" s="72"/>
      <x:c r="M53" s="72"/>
      <x:c r="N53" s="72"/>
      <x:c r="O53" s="72"/>
      <x:c r="P53" s="72"/>
      <x:c r="Q53" s="72"/>
    </x:row>
    <x:row r="54">
      <x:c r="A54" s="72"/>
      <x:c r="B54" s="72"/>
      <x:c r="C54" s="72"/>
      <x:c r="D54" s="72"/>
      <x:c r="E54" s="73"/>
      <x:c r="F54" s="73"/>
      <x:c r="G54" s="73"/>
      <x:c r="H54" s="73"/>
      <x:c r="I54" s="73"/>
      <x:c r="J54" s="75" t="str">
        <x:f>IF(A54="","",SUM(E54:I54))</x:f>
      </x:c>
      <x:c r="K54" s="72"/>
      <x:c r="L54" s="72"/>
      <x:c r="M54" s="72"/>
      <x:c r="N54" s="72"/>
      <x:c r="O54" s="72"/>
      <x:c r="P54" s="72"/>
      <x:c r="Q54" s="72"/>
    </x:row>
    <x:row r="55">
      <x:c r="A55" s="72"/>
      <x:c r="B55" s="72"/>
      <x:c r="C55" s="72"/>
      <x:c r="D55" s="72"/>
      <x:c r="E55" s="73"/>
      <x:c r="F55" s="73"/>
      <x:c r="G55" s="73"/>
      <x:c r="H55" s="73"/>
      <x:c r="I55" s="73"/>
      <x:c r="J55" s="75" t="str">
        <x:f>IF(A55="","",SUM(E55:I55))</x:f>
      </x:c>
      <x:c r="K55" s="72"/>
      <x:c r="L55" s="72"/>
      <x:c r="M55" s="72"/>
      <x:c r="N55" s="72"/>
      <x:c r="O55" s="72"/>
      <x:c r="P55" s="72"/>
      <x:c r="Q55" s="72"/>
    </x:row>
    <x:row r="56">
      <x:c r="A56" s="72"/>
      <x:c r="B56" s="72"/>
      <x:c r="C56" s="72"/>
      <x:c r="D56" s="72"/>
      <x:c r="E56" s="73"/>
      <x:c r="F56" s="73"/>
      <x:c r="G56" s="73"/>
      <x:c r="H56" s="73"/>
      <x:c r="I56" s="73"/>
      <x:c r="J56" s="75" t="str">
        <x:f>IF(A56="","",SUM(E56:I56))</x:f>
      </x:c>
      <x:c r="K56" s="72"/>
      <x:c r="L56" s="72"/>
      <x:c r="M56" s="72"/>
      <x:c r="N56" s="72"/>
      <x:c r="O56" s="72"/>
      <x:c r="P56" s="72"/>
      <x:c r="Q56" s="72"/>
    </x:row>
    <x:row r="57">
      <x:c r="A57" s="72"/>
      <x:c r="B57" s="72"/>
      <x:c r="C57" s="72"/>
      <x:c r="D57" s="72"/>
      <x:c r="E57" s="73"/>
      <x:c r="F57" s="73"/>
      <x:c r="G57" s="73"/>
      <x:c r="H57" s="73"/>
      <x:c r="I57" s="73"/>
      <x:c r="J57" s="75" t="str">
        <x:f>IF(A57="","",SUM(E57:I57))</x:f>
      </x:c>
      <x:c r="K57" s="72"/>
      <x:c r="L57" s="72"/>
      <x:c r="M57" s="72"/>
      <x:c r="N57" s="72"/>
      <x:c r="O57" s="72"/>
      <x:c r="P57" s="72"/>
      <x:c r="Q57" s="72"/>
    </x:row>
    <x:row r="58">
      <x:c r="A58" s="72"/>
      <x:c r="B58" s="72"/>
      <x:c r="C58" s="72"/>
      <x:c r="D58" s="72"/>
      <x:c r="E58" s="73"/>
      <x:c r="F58" s="73"/>
      <x:c r="G58" s="73"/>
      <x:c r="H58" s="73"/>
      <x:c r="I58" s="73"/>
      <x:c r="J58" s="75" t="str">
        <x:f>IF(A58="","",SUM(E58:I58))</x:f>
      </x:c>
      <x:c r="K58" s="72"/>
      <x:c r="L58" s="72"/>
      <x:c r="M58" s="72"/>
      <x:c r="N58" s="72"/>
      <x:c r="O58" s="72"/>
      <x:c r="P58" s="72"/>
      <x:c r="Q58" s="72"/>
    </x:row>
    <x:row r="59">
      <x:c r="A59" s="72"/>
      <x:c r="B59" s="72"/>
      <x:c r="C59" s="72"/>
      <x:c r="D59" s="72"/>
      <x:c r="E59" s="73"/>
      <x:c r="F59" s="73"/>
      <x:c r="G59" s="73"/>
      <x:c r="H59" s="73"/>
      <x:c r="I59" s="73"/>
      <x:c r="J59" s="75" t="str">
        <x:f>IF(A59="","",SUM(E59:I59))</x:f>
      </x:c>
      <x:c r="K59" s="72"/>
      <x:c r="L59" s="72"/>
      <x:c r="M59" s="72"/>
      <x:c r="N59" s="72"/>
      <x:c r="O59" s="72"/>
      <x:c r="P59" s="72"/>
      <x:c r="Q59" s="72"/>
    </x:row>
    <x:row r="60">
      <x:c r="A60" s="72"/>
      <x:c r="B60" s="72"/>
      <x:c r="C60" s="72"/>
      <x:c r="D60" s="72"/>
      <x:c r="E60" s="73"/>
      <x:c r="F60" s="73"/>
      <x:c r="G60" s="73"/>
      <x:c r="H60" s="73"/>
      <x:c r="I60" s="73"/>
      <x:c r="J60" s="75" t="str">
        <x:f>IF(A60="","",SUM(E60:I60))</x:f>
      </x:c>
      <x:c r="K60" s="72"/>
      <x:c r="L60" s="72"/>
      <x:c r="M60" s="72"/>
      <x:c r="N60" s="72"/>
      <x:c r="O60" s="72"/>
      <x:c r="P60" s="72"/>
      <x:c r="Q60" s="72"/>
    </x:row>
    <x:row r="61">
      <x:c r="A61" s="72"/>
      <x:c r="B61" s="72"/>
      <x:c r="C61" s="72"/>
      <x:c r="D61" s="72"/>
      <x:c r="E61" s="73"/>
      <x:c r="F61" s="73"/>
      <x:c r="G61" s="73"/>
      <x:c r="H61" s="73"/>
      <x:c r="I61" s="73"/>
      <x:c r="J61" s="75" t="str">
        <x:f>IF(A61="","",SUM(E61:I61))</x:f>
      </x:c>
      <x:c r="K61" s="72"/>
      <x:c r="L61" s="72"/>
      <x:c r="M61" s="72"/>
      <x:c r="N61" s="72"/>
      <x:c r="O61" s="72"/>
      <x:c r="P61" s="72"/>
      <x:c r="Q61" s="72"/>
    </x:row>
    <x:row r="62">
      <x:c r="A62" s="72"/>
      <x:c r="B62" s="72"/>
      <x:c r="C62" s="72"/>
      <x:c r="D62" s="72"/>
      <x:c r="E62" s="73"/>
      <x:c r="F62" s="73"/>
      <x:c r="G62" s="73"/>
      <x:c r="H62" s="73"/>
      <x:c r="I62" s="73"/>
      <x:c r="J62" s="75" t="str">
        <x:f>IF(A62="","",SUM(E62:I62))</x:f>
      </x:c>
      <x:c r="K62" s="72"/>
      <x:c r="L62" s="72"/>
      <x:c r="M62" s="72"/>
      <x:c r="N62" s="72"/>
      <x:c r="O62" s="72"/>
      <x:c r="P62" s="72"/>
      <x:c r="Q62" s="72"/>
    </x:row>
    <x:row r="63">
      <x:c r="A63" s="72"/>
      <x:c r="B63" s="72"/>
      <x:c r="C63" s="72"/>
      <x:c r="D63" s="72"/>
      <x:c r="E63" s="73"/>
      <x:c r="F63" s="73"/>
      <x:c r="G63" s="73"/>
      <x:c r="H63" s="73"/>
      <x:c r="I63" s="73"/>
      <x:c r="J63" s="75" t="str">
        <x:f>IF(A63="","",SUM(E63:I63))</x:f>
      </x:c>
      <x:c r="K63" s="72"/>
      <x:c r="L63" s="72"/>
      <x:c r="M63" s="72"/>
      <x:c r="N63" s="72"/>
      <x:c r="O63" s="72"/>
      <x:c r="P63" s="72"/>
      <x:c r="Q63" s="72"/>
    </x:row>
    <x:row r="64">
      <x:c r="A64" s="72"/>
      <x:c r="B64" s="72"/>
      <x:c r="C64" s="72"/>
      <x:c r="D64" s="72"/>
      <x:c r="E64" s="73"/>
      <x:c r="F64" s="73"/>
      <x:c r="G64" s="73"/>
      <x:c r="H64" s="73"/>
      <x:c r="I64" s="73"/>
      <x:c r="J64" s="75" t="str">
        <x:f>IF(A64="","",SUM(E64:I64))</x:f>
      </x:c>
      <x:c r="K64" s="72"/>
      <x:c r="L64" s="72"/>
      <x:c r="M64" s="72"/>
      <x:c r="N64" s="72"/>
      <x:c r="O64" s="72"/>
      <x:c r="P64" s="72"/>
      <x:c r="Q64" s="72"/>
    </x:row>
    <x:row r="65">
      <x:c r="A65" s="72"/>
      <x:c r="B65" s="72"/>
      <x:c r="C65" s="72"/>
      <x:c r="D65" s="72"/>
      <x:c r="E65" s="73"/>
      <x:c r="F65" s="73"/>
      <x:c r="G65" s="73"/>
      <x:c r="H65" s="73"/>
      <x:c r="I65" s="73"/>
      <x:c r="J65" s="75" t="str">
        <x:f>IF(A65="","",SUM(E65:I65))</x:f>
      </x:c>
      <x:c r="K65" s="72"/>
      <x:c r="L65" s="72"/>
      <x:c r="M65" s="72"/>
      <x:c r="N65" s="72"/>
      <x:c r="O65" s="72"/>
      <x:c r="P65" s="72"/>
      <x:c r="Q65" s="72"/>
    </x:row>
    <x:row r="66">
      <x:c r="A66" s="72"/>
      <x:c r="B66" s="72"/>
      <x:c r="C66" s="72"/>
      <x:c r="D66" s="72"/>
      <x:c r="E66" s="73"/>
      <x:c r="F66" s="73"/>
      <x:c r="G66" s="73"/>
      <x:c r="H66" s="73"/>
      <x:c r="I66" s="73"/>
      <x:c r="J66" s="75" t="str">
        <x:f>IF(A66="","",SUM(E66:I66))</x:f>
      </x:c>
      <x:c r="K66" s="72"/>
      <x:c r="L66" s="72"/>
      <x:c r="M66" s="72"/>
      <x:c r="N66" s="72"/>
      <x:c r="O66" s="72"/>
      <x:c r="P66" s="72"/>
      <x:c r="Q66" s="72"/>
    </x:row>
    <x:row r="67">
      <x:c r="A67" s="72"/>
      <x:c r="B67" s="72"/>
      <x:c r="C67" s="72"/>
      <x:c r="D67" s="72"/>
      <x:c r="E67" s="73"/>
      <x:c r="F67" s="73"/>
      <x:c r="G67" s="73"/>
      <x:c r="H67" s="73"/>
      <x:c r="I67" s="73"/>
      <x:c r="J67" s="75" t="str">
        <x:f>IF(A67="","",SUM(E67:I67))</x:f>
      </x:c>
      <x:c r="K67" s="72"/>
      <x:c r="L67" s="72"/>
      <x:c r="M67" s="72"/>
      <x:c r="N67" s="72"/>
      <x:c r="O67" s="72"/>
      <x:c r="P67" s="72"/>
      <x:c r="Q67" s="72"/>
    </x:row>
    <x:row r="68">
      <x:c r="A68" s="72"/>
      <x:c r="B68" s="72"/>
      <x:c r="C68" s="72"/>
      <x:c r="D68" s="72"/>
      <x:c r="E68" s="73"/>
      <x:c r="F68" s="73"/>
      <x:c r="G68" s="73"/>
      <x:c r="H68" s="73"/>
      <x:c r="I68" s="73"/>
      <x:c r="J68" s="75" t="str">
        <x:f>IF(A68="","",SUM(E68:I68))</x:f>
      </x:c>
      <x:c r="K68" s="72"/>
      <x:c r="L68" s="72"/>
      <x:c r="M68" s="72"/>
      <x:c r="N68" s="72"/>
      <x:c r="O68" s="72"/>
      <x:c r="P68" s="72"/>
      <x:c r="Q68" s="72"/>
    </x:row>
    <x:row r="69">
      <x:c r="A69" s="72"/>
      <x:c r="B69" s="72"/>
      <x:c r="C69" s="72"/>
      <x:c r="D69" s="72"/>
      <x:c r="E69" s="73"/>
      <x:c r="F69" s="73"/>
      <x:c r="G69" s="73"/>
      <x:c r="H69" s="73"/>
      <x:c r="I69" s="73"/>
      <x:c r="J69" s="75" t="str">
        <x:f>IF(A69="","",SUM(E69:I69))</x:f>
      </x:c>
      <x:c r="K69" s="72"/>
      <x:c r="L69" s="72"/>
      <x:c r="M69" s="72"/>
      <x:c r="N69" s="72"/>
      <x:c r="O69" s="72"/>
      <x:c r="P69" s="72"/>
      <x:c r="Q69" s="72"/>
    </x:row>
    <x:row r="70">
      <x:c r="A70" s="72"/>
      <x:c r="B70" s="72"/>
      <x:c r="C70" s="72"/>
      <x:c r="D70" s="72"/>
      <x:c r="E70" s="73"/>
      <x:c r="F70" s="73"/>
      <x:c r="G70" s="73"/>
      <x:c r="H70" s="73"/>
      <x:c r="I70" s="73"/>
      <x:c r="J70" s="75" t="str">
        <x:f>IF(A70="","",SUM(E70:I70))</x:f>
      </x:c>
      <x:c r="K70" s="72"/>
      <x:c r="L70" s="72"/>
      <x:c r="M70" s="72"/>
      <x:c r="N70" s="72"/>
      <x:c r="O70" s="72"/>
      <x:c r="P70" s="72"/>
      <x:c r="Q70" s="72"/>
    </x:row>
    <x:row r="71">
      <x:c r="A71" s="72"/>
      <x:c r="B71" s="72"/>
      <x:c r="C71" s="72"/>
      <x:c r="D71" s="72"/>
      <x:c r="E71" s="73"/>
      <x:c r="F71" s="73"/>
      <x:c r="G71" s="73"/>
      <x:c r="H71" s="73"/>
      <x:c r="I71" s="73"/>
      <x:c r="J71" s="75" t="str">
        <x:f>IF(A71="","",SUM(E71:I71))</x:f>
      </x:c>
      <x:c r="K71" s="72"/>
      <x:c r="L71" s="72"/>
      <x:c r="M71" s="72"/>
      <x:c r="N71" s="72"/>
      <x:c r="O71" s="72"/>
      <x:c r="P71" s="72"/>
      <x:c r="Q71" s="72"/>
    </x:row>
    <x:row r="72">
      <x:c r="A72" s="72"/>
      <x:c r="B72" s="72"/>
      <x:c r="C72" s="72"/>
      <x:c r="D72" s="72"/>
      <x:c r="E72" s="73"/>
      <x:c r="F72" s="73"/>
      <x:c r="G72" s="73"/>
      <x:c r="H72" s="73"/>
      <x:c r="I72" s="73"/>
      <x:c r="J72" s="75" t="str">
        <x:f>IF(A72="","",SUM(E72:I72))</x:f>
      </x:c>
      <x:c r="K72" s="72"/>
      <x:c r="L72" s="72"/>
      <x:c r="M72" s="72"/>
      <x:c r="N72" s="72"/>
      <x:c r="O72" s="72"/>
      <x:c r="P72" s="72"/>
      <x:c r="Q72" s="72"/>
    </x:row>
    <x:row r="73">
      <x:c r="A73" s="72"/>
      <x:c r="B73" s="72"/>
      <x:c r="C73" s="72"/>
      <x:c r="D73" s="72"/>
      <x:c r="E73" s="73"/>
      <x:c r="F73" s="73"/>
      <x:c r="G73" s="73"/>
      <x:c r="H73" s="73"/>
      <x:c r="I73" s="73"/>
      <x:c r="J73" s="75" t="str">
        <x:f>IF(A73="","",SUM(E73:I73))</x:f>
      </x:c>
      <x:c r="K73" s="72"/>
      <x:c r="L73" s="72"/>
      <x:c r="M73" s="72"/>
      <x:c r="N73" s="72"/>
      <x:c r="O73" s="72"/>
      <x:c r="P73" s="72"/>
      <x:c r="Q73" s="72"/>
    </x:row>
    <x:row r="74">
      <x:c r="A74" s="72"/>
      <x:c r="B74" s="72"/>
      <x:c r="C74" s="72"/>
      <x:c r="D74" s="72"/>
      <x:c r="E74" s="73"/>
      <x:c r="F74" s="73"/>
      <x:c r="G74" s="73"/>
      <x:c r="H74" s="73"/>
      <x:c r="I74" s="73"/>
      <x:c r="J74" s="75" t="str">
        <x:f>IF(A74="","",SUM(E74:I74))</x:f>
      </x:c>
      <x:c r="K74" s="72"/>
      <x:c r="L74" s="72"/>
      <x:c r="M74" s="72"/>
      <x:c r="N74" s="72"/>
      <x:c r="O74" s="72"/>
      <x:c r="P74" s="72"/>
      <x:c r="Q74" s="72"/>
    </x:row>
    <x:row r="75">
      <x:c r="A75" s="72"/>
      <x:c r="B75" s="72"/>
      <x:c r="C75" s="72"/>
      <x:c r="D75" s="72"/>
      <x:c r="E75" s="73"/>
      <x:c r="F75" s="73"/>
      <x:c r="G75" s="73"/>
      <x:c r="H75" s="73"/>
      <x:c r="I75" s="73"/>
      <x:c r="J75" s="75" t="str">
        <x:f>IF(A75="","",SUM(E75:I75))</x:f>
      </x:c>
      <x:c r="K75" s="72"/>
      <x:c r="L75" s="72"/>
      <x:c r="M75" s="72"/>
      <x:c r="N75" s="72"/>
      <x:c r="O75" s="72"/>
      <x:c r="P75" s="72"/>
      <x:c r="Q75" s="72"/>
    </x:row>
    <x:row r="76">
      <x:c r="A76" s="72"/>
      <x:c r="B76" s="72"/>
      <x:c r="C76" s="72"/>
      <x:c r="D76" s="72"/>
      <x:c r="E76" s="73"/>
      <x:c r="F76" s="73"/>
      <x:c r="G76" s="73"/>
      <x:c r="H76" s="73"/>
      <x:c r="I76" s="73"/>
      <x:c r="J76" s="75" t="str">
        <x:f>IF(A76="","",SUM(E76:I76))</x:f>
      </x:c>
      <x:c r="K76" s="72"/>
      <x:c r="L76" s="72"/>
      <x:c r="M76" s="72"/>
      <x:c r="N76" s="72"/>
      <x:c r="O76" s="72"/>
      <x:c r="P76" s="72"/>
      <x:c r="Q76" s="72"/>
    </x:row>
    <x:row r="77">
      <x:c r="A77" s="72"/>
      <x:c r="B77" s="72"/>
      <x:c r="C77" s="72"/>
      <x:c r="D77" s="72"/>
      <x:c r="E77" s="73"/>
      <x:c r="F77" s="73"/>
      <x:c r="G77" s="73"/>
      <x:c r="H77" s="73"/>
      <x:c r="I77" s="73"/>
      <x:c r="J77" s="75" t="str">
        <x:f>IF(A77="","",SUM(E77:I77))</x:f>
      </x:c>
      <x:c r="K77" s="72"/>
      <x:c r="L77" s="72"/>
      <x:c r="M77" s="72"/>
      <x:c r="N77" s="72"/>
      <x:c r="O77" s="72"/>
      <x:c r="P77" s="72"/>
      <x:c r="Q77" s="72"/>
    </x:row>
    <x:row r="78">
      <x:c r="A78" s="72"/>
      <x:c r="B78" s="72"/>
      <x:c r="C78" s="72"/>
      <x:c r="D78" s="72"/>
      <x:c r="E78" s="73"/>
      <x:c r="F78" s="73"/>
      <x:c r="G78" s="73"/>
      <x:c r="H78" s="73"/>
      <x:c r="I78" s="73"/>
      <x:c r="J78" s="75" t="str">
        <x:f>IF(A78="","",SUM(E78:I78))</x:f>
      </x:c>
      <x:c r="K78" s="72"/>
      <x:c r="L78" s="72"/>
      <x:c r="M78" s="72"/>
      <x:c r="N78" s="72"/>
      <x:c r="O78" s="72"/>
      <x:c r="P78" s="72"/>
      <x:c r="Q78" s="72"/>
    </x:row>
    <x:row r="79">
      <x:c r="A79" s="72"/>
      <x:c r="B79" s="72"/>
      <x:c r="C79" s="72"/>
      <x:c r="D79" s="72"/>
      <x:c r="E79" s="73"/>
      <x:c r="F79" s="73"/>
      <x:c r="G79" s="73"/>
      <x:c r="H79" s="73"/>
      <x:c r="I79" s="73"/>
      <x:c r="J79" s="75" t="str">
        <x:f>IF(A79="","",SUM(E79:I79))</x:f>
      </x:c>
      <x:c r="K79" s="72"/>
      <x:c r="L79" s="72"/>
      <x:c r="M79" s="72"/>
      <x:c r="N79" s="72"/>
      <x:c r="O79" s="72"/>
      <x:c r="P79" s="72"/>
      <x:c r="Q79" s="72"/>
    </x:row>
    <x:row r="80">
      <x:c r="A80" s="72"/>
      <x:c r="B80" s="72"/>
      <x:c r="C80" s="72"/>
      <x:c r="D80" s="72"/>
      <x:c r="E80" s="73"/>
      <x:c r="F80" s="73"/>
      <x:c r="G80" s="73"/>
      <x:c r="H80" s="73"/>
      <x:c r="I80" s="73"/>
      <x:c r="J80" s="75" t="str">
        <x:f>IF(A80="","",SUM(E80:I80))</x:f>
      </x:c>
      <x:c r="K80" s="72"/>
      <x:c r="L80" s="72"/>
      <x:c r="M80" s="72"/>
      <x:c r="N80" s="72"/>
      <x:c r="O80" s="72"/>
      <x:c r="P80" s="72"/>
      <x:c r="Q80" s="72"/>
    </x:row>
    <x:row r="81">
      <x:c r="A81" s="72"/>
      <x:c r="B81" s="72"/>
      <x:c r="C81" s="72"/>
      <x:c r="D81" s="72"/>
      <x:c r="E81" s="73"/>
      <x:c r="F81" s="73"/>
      <x:c r="G81" s="73"/>
      <x:c r="H81" s="73"/>
      <x:c r="I81" s="73"/>
      <x:c r="J81" s="75" t="str">
        <x:f>IF(A81="","",SUM(E81:I81))</x:f>
      </x:c>
      <x:c r="K81" s="72"/>
      <x:c r="L81" s="72"/>
      <x:c r="M81" s="72"/>
      <x:c r="N81" s="72"/>
      <x:c r="O81" s="72"/>
      <x:c r="P81" s="72"/>
      <x:c r="Q81" s="72"/>
    </x:row>
    <x:row r="82">
      <x:c r="A82" s="72"/>
      <x:c r="B82" s="72"/>
      <x:c r="C82" s="72"/>
      <x:c r="D82" s="72"/>
      <x:c r="E82" s="73"/>
      <x:c r="F82" s="73"/>
      <x:c r="G82" s="73"/>
      <x:c r="H82" s="73"/>
      <x:c r="I82" s="73"/>
      <x:c r="J82" s="75" t="str">
        <x:f>IF(A82="","",SUM(E82:I82))</x:f>
      </x:c>
      <x:c r="K82" s="72"/>
      <x:c r="L82" s="72"/>
      <x:c r="M82" s="72"/>
      <x:c r="N82" s="72"/>
      <x:c r="O82" s="72"/>
      <x:c r="P82" s="72"/>
      <x:c r="Q82" s="72"/>
    </x:row>
    <x:row r="83">
      <x:c r="A83" s="72"/>
      <x:c r="B83" s="72"/>
      <x:c r="C83" s="72"/>
      <x:c r="D83" s="72"/>
      <x:c r="E83" s="73"/>
      <x:c r="F83" s="73"/>
      <x:c r="G83" s="73"/>
      <x:c r="H83" s="73"/>
      <x:c r="I83" s="73"/>
      <x:c r="J83" s="75" t="str">
        <x:f>IF(A83="","",SUM(E83:I83))</x:f>
      </x:c>
      <x:c r="K83" s="72"/>
      <x:c r="L83" s="72"/>
      <x:c r="M83" s="72"/>
      <x:c r="N83" s="72"/>
      <x:c r="O83" s="72"/>
      <x:c r="P83" s="72"/>
      <x:c r="Q83" s="72"/>
    </x:row>
    <x:row r="84">
      <x:c r="A84" s="72"/>
      <x:c r="B84" s="72"/>
      <x:c r="C84" s="72"/>
      <x:c r="D84" s="72"/>
      <x:c r="E84" s="73"/>
      <x:c r="F84" s="73"/>
      <x:c r="G84" s="73"/>
      <x:c r="H84" s="73"/>
      <x:c r="I84" s="73"/>
      <x:c r="J84" s="75" t="str">
        <x:f>IF(A84="","",SUM(E84:I84))</x:f>
      </x:c>
      <x:c r="K84" s="72"/>
      <x:c r="L84" s="72"/>
      <x:c r="M84" s="72"/>
      <x:c r="N84" s="72"/>
      <x:c r="O84" s="72"/>
      <x:c r="P84" s="72"/>
      <x:c r="Q84" s="72"/>
    </x:row>
    <x:row r="85">
      <x:c r="A85" s="72"/>
      <x:c r="B85" s="72"/>
      <x:c r="C85" s="72"/>
      <x:c r="D85" s="72"/>
      <x:c r="E85" s="73"/>
      <x:c r="F85" s="73"/>
      <x:c r="G85" s="73"/>
      <x:c r="H85" s="73"/>
      <x:c r="I85" s="73"/>
      <x:c r="J85" s="75" t="str">
        <x:f>IF(A85="","",SUM(E85:I85))</x:f>
      </x:c>
      <x:c r="K85" s="72"/>
      <x:c r="L85" s="72"/>
      <x:c r="M85" s="72"/>
      <x:c r="N85" s="72"/>
      <x:c r="O85" s="72"/>
      <x:c r="P85" s="72"/>
      <x:c r="Q85" s="72"/>
    </x:row>
    <x:row r="86">
      <x:c r="A86" s="72"/>
      <x:c r="B86" s="72"/>
      <x:c r="C86" s="72"/>
      <x:c r="D86" s="72"/>
      <x:c r="E86" s="73"/>
      <x:c r="F86" s="73"/>
      <x:c r="G86" s="73"/>
      <x:c r="H86" s="73"/>
      <x:c r="I86" s="73"/>
      <x:c r="J86" s="75" t="str">
        <x:f>IF(A86="","",SUM(E86:I86))</x:f>
      </x:c>
      <x:c r="K86" s="72"/>
      <x:c r="L86" s="72"/>
      <x:c r="M86" s="72"/>
      <x:c r="N86" s="72"/>
      <x:c r="O86" s="72"/>
      <x:c r="P86" s="72"/>
      <x:c r="Q86" s="72"/>
    </x:row>
    <x:row r="87">
      <x:c r="A87" s="72"/>
      <x:c r="B87" s="72"/>
      <x:c r="C87" s="72"/>
      <x:c r="D87" s="72"/>
      <x:c r="E87" s="73"/>
      <x:c r="F87" s="73"/>
      <x:c r="G87" s="73"/>
      <x:c r="H87" s="73"/>
      <x:c r="I87" s="73"/>
      <x:c r="J87" s="75" t="str">
        <x:f>IF(A87="","",SUM(E87:I87))</x:f>
      </x:c>
      <x:c r="K87" s="72"/>
      <x:c r="L87" s="72"/>
      <x:c r="M87" s="72"/>
      <x:c r="N87" s="72"/>
      <x:c r="O87" s="72"/>
      <x:c r="P87" s="72"/>
      <x:c r="Q87" s="72"/>
    </x:row>
    <x:row r="88">
      <x:c r="A88" s="72"/>
      <x:c r="B88" s="72"/>
      <x:c r="C88" s="72"/>
      <x:c r="D88" s="72"/>
      <x:c r="E88" s="73"/>
      <x:c r="F88" s="73"/>
      <x:c r="G88" s="73"/>
      <x:c r="H88" s="73"/>
      <x:c r="I88" s="73"/>
      <x:c r="J88" s="75" t="str">
        <x:f>IF(A88="","",SUM(E88:I88))</x:f>
      </x:c>
      <x:c r="K88" s="72"/>
      <x:c r="L88" s="72"/>
      <x:c r="M88" s="72"/>
      <x:c r="N88" s="72"/>
      <x:c r="O88" s="72"/>
      <x:c r="P88" s="72"/>
      <x:c r="Q88" s="72"/>
    </x:row>
    <x:row r="89">
      <x:c r="A89" s="72"/>
      <x:c r="B89" s="72"/>
      <x:c r="C89" s="72"/>
      <x:c r="D89" s="72"/>
      <x:c r="E89" s="73"/>
      <x:c r="F89" s="73"/>
      <x:c r="G89" s="73"/>
      <x:c r="H89" s="73"/>
      <x:c r="I89" s="73"/>
      <x:c r="J89" s="75" t="str">
        <x:f>IF(A89="","",SUM(E89:I89))</x:f>
      </x:c>
      <x:c r="K89" s="72"/>
      <x:c r="L89" s="72"/>
      <x:c r="M89" s="72"/>
      <x:c r="N89" s="72"/>
      <x:c r="O89" s="72"/>
      <x:c r="P89" s="72"/>
      <x:c r="Q89" s="72"/>
    </x:row>
    <x:row r="90">
      <x:c r="A90" s="72"/>
      <x:c r="B90" s="72"/>
      <x:c r="C90" s="72"/>
      <x:c r="D90" s="72"/>
      <x:c r="E90" s="73"/>
      <x:c r="F90" s="73"/>
      <x:c r="G90" s="73"/>
      <x:c r="H90" s="73"/>
      <x:c r="I90" s="73"/>
      <x:c r="J90" s="75" t="str">
        <x:f>IF(A90="","",SUM(E90:I90))</x:f>
      </x:c>
      <x:c r="K90" s="72"/>
      <x:c r="L90" s="72"/>
      <x:c r="M90" s="72"/>
      <x:c r="N90" s="72"/>
      <x:c r="O90" s="72"/>
      <x:c r="P90" s="72"/>
      <x:c r="Q90" s="72"/>
    </x:row>
    <x:row r="91">
      <x:c r="A91" s="72"/>
      <x:c r="B91" s="72"/>
      <x:c r="C91" s="72"/>
      <x:c r="D91" s="72"/>
      <x:c r="E91" s="73"/>
      <x:c r="F91" s="73"/>
      <x:c r="G91" s="73"/>
      <x:c r="H91" s="73"/>
      <x:c r="I91" s="73"/>
      <x:c r="J91" s="75" t="str">
        <x:f>IF(A91="","",SUM(E91:I91))</x:f>
      </x:c>
      <x:c r="K91" s="72"/>
      <x:c r="L91" s="72"/>
      <x:c r="M91" s="72"/>
      <x:c r="N91" s="72"/>
      <x:c r="O91" s="72"/>
      <x:c r="P91" s="72"/>
      <x:c r="Q91" s="72"/>
    </x:row>
    <x:row r="92">
      <x:c r="A92" s="72"/>
      <x:c r="B92" s="72"/>
      <x:c r="C92" s="72"/>
      <x:c r="D92" s="72"/>
      <x:c r="E92" s="73"/>
      <x:c r="F92" s="73"/>
      <x:c r="G92" s="73"/>
      <x:c r="H92" s="73"/>
      <x:c r="I92" s="73"/>
      <x:c r="J92" s="75" t="str">
        <x:f>IF(A92="","",SUM(E92:I92))</x:f>
      </x:c>
      <x:c r="K92" s="72"/>
      <x:c r="L92" s="72"/>
      <x:c r="M92" s="72"/>
      <x:c r="N92" s="72"/>
      <x:c r="O92" s="72"/>
      <x:c r="P92" s="72"/>
      <x:c r="Q92" s="72"/>
    </x:row>
    <x:row r="93">
      <x:c r="A93" s="72"/>
      <x:c r="B93" s="72"/>
      <x:c r="C93" s="72"/>
      <x:c r="D93" s="72"/>
      <x:c r="E93" s="73"/>
      <x:c r="F93" s="73"/>
      <x:c r="G93" s="73"/>
      <x:c r="H93" s="73"/>
      <x:c r="I93" s="73"/>
      <x:c r="J93" s="75" t="str">
        <x:f>IF(A93="","",SUM(E93:I93))</x:f>
      </x:c>
      <x:c r="K93" s="72"/>
      <x:c r="L93" s="72"/>
      <x:c r="M93" s="72"/>
      <x:c r="N93" s="72"/>
      <x:c r="O93" s="72"/>
      <x:c r="P93" s="72"/>
      <x:c r="Q93" s="72"/>
    </x:row>
    <x:row r="94">
      <x:c r="A94" s="72"/>
      <x:c r="B94" s="72"/>
      <x:c r="C94" s="72"/>
      <x:c r="D94" s="72"/>
      <x:c r="E94" s="73"/>
      <x:c r="F94" s="73"/>
      <x:c r="G94" s="73"/>
      <x:c r="H94" s="73"/>
      <x:c r="I94" s="73"/>
      <x:c r="J94" s="75" t="str">
        <x:f>IF(A94="","",SUM(E94:I94))</x:f>
      </x:c>
      <x:c r="K94" s="72"/>
      <x:c r="L94" s="72"/>
      <x:c r="M94" s="72"/>
      <x:c r="N94" s="72"/>
      <x:c r="O94" s="72"/>
      <x:c r="P94" s="72"/>
      <x:c r="Q94" s="72"/>
    </x:row>
    <x:row r="95">
      <x:c r="A95" s="72"/>
      <x:c r="B95" s="72"/>
      <x:c r="C95" s="72"/>
      <x:c r="D95" s="72"/>
      <x:c r="E95" s="73"/>
      <x:c r="F95" s="73"/>
      <x:c r="G95" s="73"/>
      <x:c r="H95" s="73"/>
      <x:c r="I95" s="73"/>
      <x:c r="J95" s="75" t="str">
        <x:f>IF(A95="","",SUM(E95:I95))</x:f>
      </x:c>
      <x:c r="K95" s="72"/>
      <x:c r="L95" s="72"/>
      <x:c r="M95" s="72"/>
      <x:c r="N95" s="72"/>
      <x:c r="O95" s="72"/>
      <x:c r="P95" s="72"/>
      <x:c r="Q95" s="72"/>
    </x:row>
    <x:row r="96">
      <x:c r="A96" s="72"/>
      <x:c r="B96" s="72"/>
      <x:c r="C96" s="72"/>
      <x:c r="D96" s="72"/>
      <x:c r="E96" s="73"/>
      <x:c r="F96" s="73"/>
      <x:c r="G96" s="73"/>
      <x:c r="H96" s="73"/>
      <x:c r="I96" s="73"/>
      <x:c r="J96" s="75" t="str">
        <x:f>IF(A96="","",SUM(E96:I96))</x:f>
      </x:c>
      <x:c r="K96" s="72"/>
      <x:c r="L96" s="72"/>
      <x:c r="M96" s="72"/>
      <x:c r="N96" s="72"/>
      <x:c r="O96" s="72"/>
      <x:c r="P96" s="72"/>
      <x:c r="Q96" s="72"/>
    </x:row>
    <x:row r="97">
      <x:c r="A97" s="72"/>
      <x:c r="B97" s="72"/>
      <x:c r="C97" s="72"/>
      <x:c r="D97" s="72"/>
      <x:c r="E97" s="73"/>
      <x:c r="F97" s="73"/>
      <x:c r="G97" s="73"/>
      <x:c r="H97" s="73"/>
      <x:c r="I97" s="73"/>
      <x:c r="J97" s="75" t="str">
        <x:f>IF(A97="","",SUM(E97:I97))</x:f>
      </x:c>
      <x:c r="K97" s="72"/>
      <x:c r="L97" s="72"/>
      <x:c r="M97" s="72"/>
      <x:c r="N97" s="72"/>
      <x:c r="O97" s="72"/>
      <x:c r="P97" s="72"/>
      <x:c r="Q97" s="72"/>
    </x:row>
    <x:row r="98">
      <x:c r="A98" s="72"/>
      <x:c r="B98" s="72"/>
      <x:c r="C98" s="72"/>
      <x:c r="D98" s="72"/>
      <x:c r="E98" s="73"/>
      <x:c r="F98" s="73"/>
      <x:c r="G98" s="73"/>
      <x:c r="H98" s="73"/>
      <x:c r="I98" s="73"/>
      <x:c r="J98" s="75" t="str">
        <x:f>IF(A98="","",SUM(E98:I98))</x:f>
      </x:c>
      <x:c r="K98" s="72"/>
      <x:c r="L98" s="72"/>
      <x:c r="M98" s="72"/>
      <x:c r="N98" s="72"/>
      <x:c r="O98" s="72"/>
      <x:c r="P98" s="72"/>
      <x:c r="Q98" s="72"/>
    </x:row>
    <x:row r="99">
      <x:c r="A99" s="72"/>
      <x:c r="B99" s="72"/>
      <x:c r="C99" s="72"/>
      <x:c r="D99" s="72"/>
      <x:c r="E99" s="73"/>
      <x:c r="F99" s="73"/>
      <x:c r="G99" s="73"/>
      <x:c r="H99" s="73"/>
      <x:c r="I99" s="73"/>
      <x:c r="J99" s="75" t="str">
        <x:f>IF(A99="","",SUM(E99:I99))</x:f>
      </x:c>
      <x:c r="K99" s="72"/>
      <x:c r="L99" s="72"/>
      <x:c r="M99" s="72"/>
      <x:c r="N99" s="72"/>
      <x:c r="O99" s="72"/>
      <x:c r="P99" s="72"/>
      <x:c r="Q99" s="72"/>
    </x:row>
    <x:row r="100">
      <x:c r="A100" s="72"/>
      <x:c r="B100" s="72"/>
      <x:c r="C100" s="72"/>
      <x:c r="D100" s="72"/>
      <x:c r="E100" s="73"/>
      <x:c r="F100" s="73"/>
      <x:c r="G100" s="73"/>
      <x:c r="H100" s="73"/>
      <x:c r="I100" s="73"/>
      <x:c r="J100" s="75" t="str">
        <x:f>IF(A100="","",SUM(E100:I100))</x:f>
      </x:c>
      <x:c r="K100" s="72"/>
      <x:c r="L100" s="72"/>
      <x:c r="M100" s="72"/>
      <x:c r="N100" s="72"/>
      <x:c r="O100" s="72"/>
      <x:c r="P100" s="72"/>
      <x:c r="Q100" s="72"/>
    </x:row>
    <x:row r="101">
      <x:c r="A101" s="72"/>
      <x:c r="B101" s="72"/>
      <x:c r="C101" s="72"/>
      <x:c r="D101" s="72"/>
      <x:c r="E101" s="73"/>
      <x:c r="F101" s="73"/>
      <x:c r="G101" s="73"/>
      <x:c r="H101" s="73"/>
      <x:c r="I101" s="73"/>
      <x:c r="J101" s="75" t="str">
        <x:f>IF(A101="","",SUM(E101:I101))</x:f>
      </x:c>
      <x:c r="K101" s="72"/>
      <x:c r="L101" s="72"/>
      <x:c r="M101" s="72"/>
      <x:c r="N101" s="72"/>
      <x:c r="O101" s="72"/>
      <x:c r="P101" s="72"/>
      <x:c r="Q101" s="72"/>
    </x:row>
    <x:row r="102">
      <x:c r="A102" s="72"/>
      <x:c r="B102" s="72"/>
      <x:c r="C102" s="72"/>
      <x:c r="D102" s="72"/>
      <x:c r="E102" s="73"/>
      <x:c r="F102" s="73"/>
      <x:c r="G102" s="73"/>
      <x:c r="H102" s="73"/>
      <x:c r="I102" s="73"/>
      <x:c r="J102" s="75" t="str">
        <x:f>IF(A102="","",SUM(E102:I102))</x:f>
      </x:c>
      <x:c r="K102" s="72"/>
      <x:c r="L102" s="72"/>
      <x:c r="M102" s="72"/>
      <x:c r="N102" s="72"/>
      <x:c r="O102" s="72"/>
      <x:c r="P102" s="72"/>
      <x:c r="Q102" s="72"/>
    </x:row>
    <x:row r="103">
      <x:c r="A103" s="72"/>
      <x:c r="B103" s="72"/>
      <x:c r="C103" s="72"/>
      <x:c r="D103" s="72"/>
      <x:c r="E103" s="73"/>
      <x:c r="F103" s="73"/>
      <x:c r="G103" s="73"/>
      <x:c r="H103" s="73"/>
      <x:c r="I103" s="73"/>
      <x:c r="J103" s="75" t="str">
        <x:f>IF(A103="","",SUM(E103:I103))</x:f>
      </x:c>
      <x:c r="K103" s="72"/>
      <x:c r="L103" s="72"/>
      <x:c r="M103" s="72"/>
      <x:c r="N103" s="72"/>
      <x:c r="O103" s="72"/>
      <x:c r="P103" s="72"/>
      <x:c r="Q103" s="72"/>
    </x:row>
    <x:row r="104">
      <x:c r="A104" s="72"/>
      <x:c r="B104" s="72"/>
      <x:c r="C104" s="72"/>
      <x:c r="D104" s="72"/>
      <x:c r="E104" s="73"/>
      <x:c r="F104" s="73"/>
      <x:c r="G104" s="73"/>
      <x:c r="H104" s="73"/>
      <x:c r="I104" s="73"/>
      <x:c r="J104" s="75" t="str">
        <x:f>IF(A104="","",SUM(E104:I104))</x:f>
      </x:c>
      <x:c r="K104" s="72"/>
      <x:c r="L104" s="72"/>
      <x:c r="M104" s="72"/>
      <x:c r="N104" s="72"/>
      <x:c r="O104" s="72"/>
      <x:c r="P104" s="72"/>
      <x:c r="Q104" s="72"/>
    </x:row>
    <x:row r="105">
      <x:c r="A105" s="72"/>
      <x:c r="B105" s="72"/>
      <x:c r="C105" s="72"/>
      <x:c r="D105" s="72"/>
      <x:c r="E105" s="73"/>
      <x:c r="F105" s="73"/>
      <x:c r="G105" s="73"/>
      <x:c r="H105" s="73"/>
      <x:c r="I105" s="73"/>
      <x:c r="J105" s="75" t="str">
        <x:f>IF(A105="","",SUM(E105:I105))</x:f>
      </x:c>
      <x:c r="K105" s="72"/>
      <x:c r="L105" s="72"/>
      <x:c r="M105" s="72"/>
      <x:c r="N105" s="72"/>
      <x:c r="O105" s="72"/>
      <x:c r="P105" s="72"/>
      <x:c r="Q105" s="72"/>
    </x:row>
    <x:row r="106">
      <x:c r="A106" s="72"/>
      <x:c r="B106" s="72"/>
      <x:c r="C106" s="72"/>
      <x:c r="D106" s="72"/>
      <x:c r="E106" s="73"/>
      <x:c r="F106" s="73"/>
      <x:c r="G106" s="73"/>
      <x:c r="H106" s="73"/>
      <x:c r="I106" s="73"/>
      <x:c r="J106" s="75" t="str">
        <x:f>IF(A106="","",SUM(E106:I106))</x:f>
      </x:c>
      <x:c r="K106" s="72"/>
      <x:c r="L106" s="72"/>
      <x:c r="M106" s="72"/>
      <x:c r="N106" s="72"/>
      <x:c r="O106" s="72"/>
      <x:c r="P106" s="72"/>
      <x:c r="Q106" s="72"/>
    </x:row>
    <x:row r="107">
      <x:c r="A107" s="72"/>
      <x:c r="B107" s="72"/>
      <x:c r="C107" s="72"/>
      <x:c r="D107" s="72"/>
      <x:c r="E107" s="73"/>
      <x:c r="F107" s="73"/>
      <x:c r="G107" s="73"/>
      <x:c r="H107" s="73"/>
      <x:c r="I107" s="73"/>
      <x:c r="J107" s="75" t="str">
        <x:f>IF(A107="","",SUM(E107:I107))</x:f>
      </x:c>
      <x:c r="K107" s="72"/>
      <x:c r="L107" s="72"/>
      <x:c r="M107" s="72"/>
      <x:c r="N107" s="72"/>
      <x:c r="O107" s="72"/>
      <x:c r="P107" s="72"/>
      <x:c r="Q107" s="72"/>
    </x:row>
    <x:row r="108">
      <x:c r="A108" s="72"/>
      <x:c r="B108" s="72"/>
      <x:c r="C108" s="72"/>
      <x:c r="D108" s="72"/>
      <x:c r="E108" s="73"/>
      <x:c r="F108" s="73"/>
      <x:c r="G108" s="73"/>
      <x:c r="H108" s="73"/>
      <x:c r="I108" s="73"/>
      <x:c r="J108" s="75" t="str">
        <x:f>IF(A108="","",SUM(E108:I108))</x:f>
      </x:c>
      <x:c r="K108" s="72"/>
      <x:c r="L108" s="72"/>
      <x:c r="M108" s="72"/>
      <x:c r="N108" s="72"/>
      <x:c r="O108" s="72"/>
      <x:c r="P108" s="72"/>
      <x:c r="Q108" s="72"/>
    </x:row>
    <x:row r="109">
      <x:c r="A109" s="72"/>
      <x:c r="B109" s="72"/>
      <x:c r="C109" s="72"/>
      <x:c r="D109" s="72"/>
      <x:c r="E109" s="73"/>
      <x:c r="F109" s="73"/>
      <x:c r="G109" s="73"/>
      <x:c r="H109" s="73"/>
      <x:c r="I109" s="73"/>
      <x:c r="J109" s="75" t="str">
        <x:f>IF(A109="","",SUM(E109:I109))</x:f>
      </x:c>
      <x:c r="K109" s="72"/>
      <x:c r="L109" s="72"/>
      <x:c r="M109" s="72"/>
      <x:c r="N109" s="72"/>
      <x:c r="O109" s="72"/>
      <x:c r="P109" s="72"/>
      <x:c r="Q109" s="72"/>
    </x:row>
    <x:row r="110">
      <x:c r="A110" s="72"/>
      <x:c r="B110" s="72"/>
      <x:c r="C110" s="72"/>
      <x:c r="D110" s="72"/>
      <x:c r="E110" s="73"/>
      <x:c r="F110" s="73"/>
      <x:c r="G110" s="73"/>
      <x:c r="H110" s="73"/>
      <x:c r="I110" s="73"/>
      <x:c r="J110" s="75" t="str">
        <x:f>IF(A110="","",SUM(E110:I110))</x:f>
      </x:c>
      <x:c r="K110" s="72"/>
      <x:c r="L110" s="72"/>
      <x:c r="M110" s="72"/>
      <x:c r="N110" s="72"/>
      <x:c r="O110" s="72"/>
      <x:c r="P110" s="72"/>
      <x:c r="Q110" s="72"/>
    </x:row>
    <x:row r="111">
      <x:c r="A111" s="72"/>
      <x:c r="B111" s="72"/>
      <x:c r="C111" s="72"/>
      <x:c r="D111" s="72"/>
      <x:c r="E111" s="73"/>
      <x:c r="F111" s="73"/>
      <x:c r="G111" s="73"/>
      <x:c r="H111" s="73"/>
      <x:c r="I111" s="73"/>
      <x:c r="J111" s="75" t="str">
        <x:f>IF(A111="","",SUM(E111:I111))</x:f>
      </x:c>
      <x:c r="K111" s="72"/>
      <x:c r="L111" s="72"/>
      <x:c r="M111" s="72"/>
      <x:c r="N111" s="72"/>
      <x:c r="O111" s="72"/>
      <x:c r="P111" s="72"/>
      <x:c r="Q111" s="72"/>
    </x:row>
    <x:row r="112">
      <x:c r="A112" s="72"/>
      <x:c r="B112" s="72"/>
      <x:c r="C112" s="72"/>
      <x:c r="D112" s="72"/>
      <x:c r="E112" s="73"/>
      <x:c r="F112" s="73"/>
      <x:c r="G112" s="73"/>
      <x:c r="H112" s="73"/>
      <x:c r="I112" s="73"/>
      <x:c r="J112" s="75" t="str">
        <x:f>IF(A112="","",SUM(E112:I112))</x:f>
      </x:c>
      <x:c r="K112" s="72"/>
      <x:c r="L112" s="72"/>
      <x:c r="M112" s="72"/>
      <x:c r="N112" s="72"/>
      <x:c r="O112" s="72"/>
      <x:c r="P112" s="72"/>
      <x:c r="Q112" s="72"/>
    </x:row>
    <x:row r="113">
      <x:c r="A113" s="72"/>
      <x:c r="B113" s="72"/>
      <x:c r="C113" s="72"/>
      <x:c r="D113" s="72"/>
      <x:c r="E113" s="73"/>
      <x:c r="F113" s="73"/>
      <x:c r="G113" s="73"/>
      <x:c r="H113" s="73"/>
      <x:c r="I113" s="73"/>
      <x:c r="J113" s="75" t="str">
        <x:f>IF(A113="","",SUM(E113:I113))</x:f>
      </x:c>
      <x:c r="K113" s="72"/>
      <x:c r="L113" s="72"/>
      <x:c r="M113" s="72"/>
      <x:c r="N113" s="72"/>
      <x:c r="O113" s="72"/>
      <x:c r="P113" s="72"/>
      <x:c r="Q113" s="72"/>
    </x:row>
    <x:row r="114">
      <x:c r="A114" s="72"/>
      <x:c r="B114" s="72"/>
      <x:c r="C114" s="72"/>
      <x:c r="D114" s="72"/>
      <x:c r="E114" s="73"/>
      <x:c r="F114" s="73"/>
      <x:c r="G114" s="73"/>
      <x:c r="H114" s="73"/>
      <x:c r="I114" s="73"/>
      <x:c r="J114" s="75" t="str">
        <x:f>IF(A114="","",SUM(E114:I114))</x:f>
      </x:c>
      <x:c r="K114" s="72"/>
      <x:c r="L114" s="72"/>
      <x:c r="M114" s="72"/>
      <x:c r="N114" s="72"/>
      <x:c r="O114" s="72"/>
      <x:c r="P114" s="72"/>
      <x:c r="Q114" s="72"/>
    </x:row>
    <x:row r="115">
      <x:c r="A115" s="72"/>
      <x:c r="B115" s="72"/>
      <x:c r="C115" s="72"/>
      <x:c r="D115" s="72"/>
      <x:c r="E115" s="73"/>
      <x:c r="F115" s="73"/>
      <x:c r="G115" s="73"/>
      <x:c r="H115" s="73"/>
      <x:c r="I115" s="73"/>
      <x:c r="J115" s="75" t="str">
        <x:f>IF(A115="","",SUM(E115:I115))</x:f>
      </x:c>
      <x:c r="K115" s="72"/>
      <x:c r="L115" s="72"/>
      <x:c r="M115" s="72"/>
      <x:c r="N115" s="72"/>
      <x:c r="O115" s="72"/>
      <x:c r="P115" s="72"/>
      <x:c r="Q115" s="72"/>
    </x:row>
    <x:row r="116">
      <x:c r="A116" s="72"/>
      <x:c r="B116" s="72"/>
      <x:c r="C116" s="72"/>
      <x:c r="D116" s="72"/>
      <x:c r="E116" s="73"/>
      <x:c r="F116" s="73"/>
      <x:c r="G116" s="73"/>
      <x:c r="H116" s="73"/>
      <x:c r="I116" s="73"/>
      <x:c r="J116" s="75" t="str">
        <x:f>IF(A116="","",SUM(E116:I116))</x:f>
      </x:c>
      <x:c r="K116" s="72"/>
      <x:c r="L116" s="72"/>
      <x:c r="M116" s="72"/>
      <x:c r="N116" s="72"/>
      <x:c r="O116" s="72"/>
      <x:c r="P116" s="72"/>
      <x:c r="Q116" s="72"/>
    </x:row>
    <x:row r="117">
      <x:c r="A117" s="72"/>
      <x:c r="B117" s="72"/>
      <x:c r="C117" s="72"/>
      <x:c r="D117" s="72"/>
      <x:c r="E117" s="73"/>
      <x:c r="F117" s="73"/>
      <x:c r="G117" s="73"/>
      <x:c r="H117" s="73"/>
      <x:c r="I117" s="73"/>
      <x:c r="J117" s="75" t="str">
        <x:f>IF(A117="","",SUM(E117:I117))</x:f>
      </x:c>
      <x:c r="K117" s="72"/>
      <x:c r="L117" s="72"/>
      <x:c r="M117" s="72"/>
      <x:c r="N117" s="72"/>
      <x:c r="O117" s="72"/>
      <x:c r="P117" s="72"/>
      <x:c r="Q117" s="72"/>
    </x:row>
    <x:row r="118">
      <x:c r="A118" s="72"/>
      <x:c r="B118" s="72"/>
      <x:c r="C118" s="72"/>
      <x:c r="D118" s="72"/>
      <x:c r="E118" s="73"/>
      <x:c r="F118" s="73"/>
      <x:c r="G118" s="73"/>
      <x:c r="H118" s="73"/>
      <x:c r="I118" s="73"/>
      <x:c r="J118" s="75" t="str">
        <x:f>IF(A118="","",SUM(E118:I118))</x:f>
      </x:c>
      <x:c r="K118" s="72"/>
      <x:c r="L118" s="72"/>
      <x:c r="M118" s="72"/>
      <x:c r="N118" s="72"/>
      <x:c r="O118" s="72"/>
      <x:c r="P118" s="72"/>
      <x:c r="Q118" s="72"/>
    </x:row>
    <x:row r="119">
      <x:c r="A119" s="72"/>
      <x:c r="B119" s="72"/>
      <x:c r="C119" s="72"/>
      <x:c r="D119" s="72"/>
      <x:c r="E119" s="73"/>
      <x:c r="F119" s="73"/>
      <x:c r="G119" s="73"/>
      <x:c r="H119" s="73"/>
      <x:c r="I119" s="73"/>
      <x:c r="J119" s="75" t="str">
        <x:f>IF(A119="","",SUM(E119:I119))</x:f>
      </x:c>
      <x:c r="K119" s="72"/>
      <x:c r="L119" s="72"/>
      <x:c r="M119" s="72"/>
      <x:c r="N119" s="72"/>
      <x:c r="O119" s="72"/>
      <x:c r="P119" s="72"/>
      <x:c r="Q119" s="72"/>
    </x:row>
    <x:row r="120">
      <x:c r="A120" s="72"/>
      <x:c r="B120" s="72"/>
      <x:c r="C120" s="72"/>
      <x:c r="D120" s="72"/>
      <x:c r="E120" s="73"/>
      <x:c r="F120" s="73"/>
      <x:c r="G120" s="73"/>
      <x:c r="H120" s="73"/>
      <x:c r="I120" s="73"/>
      <x:c r="J120" s="75" t="str">
        <x:f>IF(A120="","",SUM(E120:I120))</x:f>
      </x:c>
      <x:c r="K120" s="72"/>
      <x:c r="L120" s="72"/>
      <x:c r="M120" s="72"/>
      <x:c r="N120" s="72"/>
      <x:c r="O120" s="72"/>
      <x:c r="P120" s="72"/>
      <x:c r="Q120" s="72"/>
    </x:row>
    <x:row r="121">
      <x:c r="A121" s="72"/>
      <x:c r="B121" s="72"/>
      <x:c r="C121" s="72"/>
      <x:c r="D121" s="72"/>
      <x:c r="E121" s="73"/>
      <x:c r="F121" s="73"/>
      <x:c r="G121" s="73"/>
      <x:c r="H121" s="73"/>
      <x:c r="I121" s="73"/>
      <x:c r="J121" s="75" t="str">
        <x:f>IF(A121="","",SUM(E121:I121))</x:f>
      </x:c>
      <x:c r="K121" s="72"/>
      <x:c r="L121" s="72"/>
      <x:c r="M121" s="72"/>
      <x:c r="N121" s="72"/>
      <x:c r="O121" s="72"/>
      <x:c r="P121" s="72"/>
      <x:c r="Q121" s="72"/>
    </x:row>
    <x:row r="122">
      <x:c r="A122" s="72"/>
      <x:c r="B122" s="72"/>
      <x:c r="C122" s="72"/>
      <x:c r="D122" s="72"/>
      <x:c r="E122" s="73"/>
      <x:c r="F122" s="73"/>
      <x:c r="G122" s="73"/>
      <x:c r="H122" s="73"/>
      <x:c r="I122" s="73"/>
      <x:c r="J122" s="75" t="str">
        <x:f>IF(A122="","",SUM(E122:I122))</x:f>
      </x:c>
      <x:c r="K122" s="72"/>
      <x:c r="L122" s="72"/>
      <x:c r="M122" s="72"/>
      <x:c r="N122" s="72"/>
      <x:c r="O122" s="72"/>
      <x:c r="P122" s="72"/>
      <x:c r="Q122" s="72"/>
    </x:row>
    <x:row r="123">
      <x:c r="A123" s="72"/>
      <x:c r="B123" s="72"/>
      <x:c r="C123" s="72"/>
      <x:c r="D123" s="72"/>
      <x:c r="E123" s="73"/>
      <x:c r="F123" s="73"/>
      <x:c r="G123" s="73"/>
      <x:c r="H123" s="73"/>
      <x:c r="I123" s="73"/>
      <x:c r="J123" s="75" t="str">
        <x:f>IF(A123="","",SUM(E123:I123))</x:f>
      </x:c>
      <x:c r="K123" s="72"/>
      <x:c r="L123" s="72"/>
      <x:c r="M123" s="72"/>
      <x:c r="N123" s="72"/>
      <x:c r="O123" s="72"/>
      <x:c r="P123" s="72"/>
      <x:c r="Q123" s="72"/>
    </x:row>
    <x:row r="124">
      <x:c r="A124" s="72"/>
      <x:c r="B124" s="72"/>
      <x:c r="C124" s="72"/>
      <x:c r="D124" s="72"/>
      <x:c r="E124" s="73"/>
      <x:c r="F124" s="73"/>
      <x:c r="G124" s="73"/>
      <x:c r="H124" s="73"/>
      <x:c r="I124" s="73"/>
      <x:c r="J124" s="75" t="str">
        <x:f>IF(A124="","",SUM(E124:I124))</x:f>
      </x:c>
      <x:c r="K124" s="72"/>
      <x:c r="L124" s="72"/>
      <x:c r="M124" s="72"/>
      <x:c r="N124" s="72"/>
      <x:c r="O124" s="72"/>
      <x:c r="P124" s="72"/>
      <x:c r="Q124" s="72"/>
    </x:row>
    <x:row r="125">
      <x:c r="A125" s="72"/>
      <x:c r="B125" s="72"/>
      <x:c r="C125" s="72"/>
      <x:c r="D125" s="72"/>
      <x:c r="E125" s="73"/>
      <x:c r="F125" s="73"/>
      <x:c r="G125" s="73"/>
      <x:c r="H125" s="73"/>
      <x:c r="I125" s="73"/>
      <x:c r="J125" s="75" t="str">
        <x:f>IF(A125="","",SUM(E125:I125))</x:f>
      </x:c>
      <x:c r="K125" s="72"/>
      <x:c r="L125" s="72"/>
      <x:c r="M125" s="72"/>
      <x:c r="N125" s="72"/>
      <x:c r="O125" s="72"/>
      <x:c r="P125" s="72"/>
      <x:c r="Q125" s="72"/>
    </x:row>
    <x:row r="126">
      <x:c r="A126" s="72"/>
      <x:c r="B126" s="72"/>
      <x:c r="C126" s="72"/>
      <x:c r="D126" s="72"/>
      <x:c r="E126" s="73"/>
      <x:c r="F126" s="73"/>
      <x:c r="G126" s="73"/>
      <x:c r="H126" s="73"/>
      <x:c r="I126" s="73"/>
      <x:c r="J126" s="75" t="str">
        <x:f>IF(A126="","",SUM(E126:I126))</x:f>
      </x:c>
      <x:c r="K126" s="72"/>
      <x:c r="L126" s="72"/>
      <x:c r="M126" s="72"/>
      <x:c r="N126" s="72"/>
      <x:c r="O126" s="72"/>
      <x:c r="P126" s="72"/>
      <x:c r="Q126" s="72"/>
    </x:row>
    <x:row r="127">
      <x:c r="A127" s="72"/>
      <x:c r="B127" s="72"/>
      <x:c r="C127" s="72"/>
      <x:c r="D127" s="72"/>
      <x:c r="E127" s="73"/>
      <x:c r="F127" s="73"/>
      <x:c r="G127" s="73"/>
      <x:c r="H127" s="73"/>
      <x:c r="I127" s="73"/>
      <x:c r="J127" s="75" t="str">
        <x:f>IF(A127="","",SUM(E127:I127))</x:f>
      </x:c>
      <x:c r="K127" s="72"/>
      <x:c r="L127" s="72"/>
      <x:c r="M127" s="72"/>
      <x:c r="N127" s="72"/>
      <x:c r="O127" s="72"/>
      <x:c r="P127" s="72"/>
      <x:c r="Q127" s="72"/>
    </x:row>
    <x:row r="128">
      <x:c r="A128" s="72"/>
      <x:c r="B128" s="72"/>
      <x:c r="C128" s="72"/>
      <x:c r="D128" s="72"/>
      <x:c r="E128" s="73"/>
      <x:c r="F128" s="73"/>
      <x:c r="G128" s="73"/>
      <x:c r="H128" s="73"/>
      <x:c r="I128" s="73"/>
      <x:c r="J128" s="75" t="str">
        <x:f>IF(A128="","",SUM(E128:I128))</x:f>
      </x:c>
      <x:c r="K128" s="72"/>
      <x:c r="L128" s="72"/>
      <x:c r="M128" s="72"/>
      <x:c r="N128" s="72"/>
      <x:c r="O128" s="72"/>
      <x:c r="P128" s="72"/>
      <x:c r="Q128" s="72"/>
    </x:row>
    <x:row r="129">
      <x:c r="A129" s="72"/>
      <x:c r="B129" s="72"/>
      <x:c r="C129" s="72"/>
      <x:c r="D129" s="72"/>
      <x:c r="E129" s="73"/>
      <x:c r="F129" s="73"/>
      <x:c r="G129" s="73"/>
      <x:c r="H129" s="73"/>
      <x:c r="I129" s="73"/>
      <x:c r="J129" s="75" t="str">
        <x:f>IF(A129="","",SUM(E129:I129))</x:f>
      </x:c>
      <x:c r="K129" s="72"/>
      <x:c r="L129" s="72"/>
      <x:c r="M129" s="72"/>
      <x:c r="N129" s="72"/>
      <x:c r="O129" s="72"/>
      <x:c r="P129" s="72"/>
      <x:c r="Q129" s="72"/>
    </x:row>
    <x:row r="130">
      <x:c r="A130" s="72"/>
      <x:c r="B130" s="72"/>
      <x:c r="C130" s="72"/>
      <x:c r="D130" s="72"/>
      <x:c r="E130" s="73"/>
      <x:c r="F130" s="73"/>
      <x:c r="G130" s="73"/>
      <x:c r="H130" s="73"/>
      <x:c r="I130" s="73"/>
      <x:c r="J130" s="75" t="str">
        <x:f>IF(A130="","",SUM(E130:I130))</x:f>
      </x:c>
      <x:c r="K130" s="72"/>
      <x:c r="L130" s="72"/>
      <x:c r="M130" s="72"/>
      <x:c r="N130" s="72"/>
      <x:c r="O130" s="72"/>
      <x:c r="P130" s="72"/>
      <x:c r="Q130" s="72"/>
    </x:row>
    <x:row r="131">
      <x:c r="A131" s="72"/>
      <x:c r="B131" s="72"/>
      <x:c r="C131" s="72"/>
      <x:c r="D131" s="72"/>
      <x:c r="E131" s="73"/>
      <x:c r="F131" s="73"/>
      <x:c r="G131" s="73"/>
      <x:c r="H131" s="73"/>
      <x:c r="I131" s="73"/>
      <x:c r="J131" s="75" t="str">
        <x:f>IF(A131="","",SUM(E131:I131))</x:f>
      </x:c>
      <x:c r="K131" s="72"/>
      <x:c r="L131" s="72"/>
      <x:c r="M131" s="72"/>
      <x:c r="N131" s="72"/>
      <x:c r="O131" s="72"/>
      <x:c r="P131" s="72"/>
      <x:c r="Q131" s="72"/>
    </x:row>
    <x:row r="132">
      <x:c r="A132" s="72"/>
      <x:c r="B132" s="72"/>
      <x:c r="C132" s="72"/>
      <x:c r="D132" s="72"/>
      <x:c r="E132" s="73"/>
      <x:c r="F132" s="73"/>
      <x:c r="G132" s="73"/>
      <x:c r="H132" s="73"/>
      <x:c r="I132" s="73"/>
      <x:c r="J132" s="75" t="str">
        <x:f>IF(A132="","",SUM(E132:I132))</x:f>
      </x:c>
      <x:c r="K132" s="72"/>
      <x:c r="L132" s="72"/>
      <x:c r="M132" s="72"/>
      <x:c r="N132" s="72"/>
      <x:c r="O132" s="72"/>
      <x:c r="P132" s="72"/>
      <x:c r="Q132" s="72"/>
    </x:row>
    <x:row r="133">
      <x:c r="A133" s="72"/>
      <x:c r="B133" s="72"/>
      <x:c r="C133" s="72"/>
      <x:c r="D133" s="72"/>
      <x:c r="E133" s="73"/>
      <x:c r="F133" s="73"/>
      <x:c r="G133" s="73"/>
      <x:c r="H133" s="73"/>
      <x:c r="I133" s="73"/>
      <x:c r="J133" s="75" t="str">
        <x:f>IF(A133="","",SUM(E133:I133))</x:f>
      </x:c>
      <x:c r="K133" s="72"/>
      <x:c r="L133" s="72"/>
      <x:c r="M133" s="72"/>
      <x:c r="N133" s="72"/>
      <x:c r="O133" s="72"/>
      <x:c r="P133" s="72"/>
      <x:c r="Q133" s="72"/>
    </x:row>
    <x:row r="134">
      <x:c r="A134" s="72"/>
      <x:c r="B134" s="72"/>
      <x:c r="C134" s="72"/>
      <x:c r="D134" s="72"/>
      <x:c r="E134" s="73"/>
      <x:c r="F134" s="73"/>
      <x:c r="G134" s="73"/>
      <x:c r="H134" s="73"/>
      <x:c r="I134" s="73"/>
      <x:c r="J134" s="75" t="str">
        <x:f>IF(A134="","",SUM(E134:I134))</x:f>
      </x:c>
      <x:c r="K134" s="72"/>
      <x:c r="L134" s="72"/>
      <x:c r="M134" s="72"/>
      <x:c r="N134" s="72"/>
      <x:c r="O134" s="72"/>
      <x:c r="P134" s="72"/>
      <x:c r="Q134" s="72"/>
    </x:row>
    <x:row r="135">
      <x:c r="A135" s="72"/>
      <x:c r="B135" s="72"/>
      <x:c r="C135" s="72"/>
      <x:c r="D135" s="72"/>
      <x:c r="E135" s="73"/>
      <x:c r="F135" s="73"/>
      <x:c r="G135" s="73"/>
      <x:c r="H135" s="73"/>
      <x:c r="I135" s="73"/>
      <x:c r="J135" s="75" t="str">
        <x:f>IF(A135="","",SUM(E135:I135))</x:f>
      </x:c>
      <x:c r="K135" s="72"/>
      <x:c r="L135" s="72"/>
      <x:c r="M135" s="72"/>
      <x:c r="N135" s="72"/>
      <x:c r="O135" s="72"/>
      <x:c r="P135" s="72"/>
      <x:c r="Q135" s="72"/>
    </x:row>
    <x:row r="136">
      <x:c r="A136" s="72"/>
      <x:c r="B136" s="72"/>
      <x:c r="C136" s="72"/>
      <x:c r="D136" s="72"/>
      <x:c r="E136" s="73"/>
      <x:c r="F136" s="73"/>
      <x:c r="G136" s="73"/>
      <x:c r="H136" s="73"/>
      <x:c r="I136" s="73"/>
      <x:c r="J136" s="75" t="str">
        <x:f>IF(A136="","",SUM(E136:I136))</x:f>
      </x:c>
      <x:c r="K136" s="72"/>
      <x:c r="L136" s="72"/>
      <x:c r="M136" s="72"/>
      <x:c r="N136" s="72"/>
      <x:c r="O136" s="72"/>
      <x:c r="P136" s="72"/>
      <x:c r="Q136" s="72"/>
    </x:row>
    <x:row r="137">
      <x:c r="A137" s="72"/>
      <x:c r="B137" s="72"/>
      <x:c r="C137" s="72"/>
      <x:c r="D137" s="72"/>
      <x:c r="E137" s="73"/>
      <x:c r="F137" s="73"/>
      <x:c r="G137" s="73"/>
      <x:c r="H137" s="73"/>
      <x:c r="I137" s="73"/>
      <x:c r="J137" s="75" t="str">
        <x:f>IF(A137="","",SUM(E137:I137))</x:f>
      </x:c>
      <x:c r="K137" s="72"/>
      <x:c r="L137" s="72"/>
      <x:c r="M137" s="72"/>
      <x:c r="N137" s="72"/>
      <x:c r="O137" s="72"/>
      <x:c r="P137" s="72"/>
      <x:c r="Q137" s="72"/>
    </x:row>
    <x:row r="138">
      <x:c r="A138" s="72"/>
      <x:c r="B138" s="72"/>
      <x:c r="C138" s="72"/>
      <x:c r="D138" s="72"/>
      <x:c r="E138" s="73"/>
      <x:c r="F138" s="73"/>
      <x:c r="G138" s="73"/>
      <x:c r="H138" s="73"/>
      <x:c r="I138" s="73"/>
      <x:c r="J138" s="75" t="str">
        <x:f>IF(A138="","",SUM(E138:I138))</x:f>
      </x:c>
      <x:c r="K138" s="72"/>
      <x:c r="L138" s="72"/>
      <x:c r="M138" s="72"/>
      <x:c r="N138" s="72"/>
      <x:c r="O138" s="72"/>
      <x:c r="P138" s="72"/>
      <x:c r="Q138" s="72"/>
    </x:row>
    <x:row r="139">
      <x:c r="A139" s="72"/>
      <x:c r="B139" s="72"/>
      <x:c r="C139" s="72"/>
      <x:c r="D139" s="72"/>
      <x:c r="E139" s="73"/>
      <x:c r="F139" s="73"/>
      <x:c r="G139" s="73"/>
      <x:c r="H139" s="73"/>
      <x:c r="I139" s="73"/>
      <x:c r="J139" s="75" t="str">
        <x:f>IF(A139="","",SUM(E139:I139))</x:f>
      </x:c>
      <x:c r="K139" s="72"/>
      <x:c r="L139" s="72"/>
      <x:c r="M139" s="72"/>
      <x:c r="N139" s="72"/>
      <x:c r="O139" s="72"/>
      <x:c r="P139" s="72"/>
      <x:c r="Q139" s="72"/>
    </x:row>
    <x:row r="140">
      <x:c r="A140" s="72"/>
      <x:c r="B140" s="72"/>
      <x:c r="C140" s="72"/>
      <x:c r="D140" s="72"/>
      <x:c r="E140" s="73"/>
      <x:c r="F140" s="73"/>
      <x:c r="G140" s="73"/>
      <x:c r="H140" s="73"/>
      <x:c r="I140" s="73"/>
      <x:c r="J140" s="75" t="str">
        <x:f>IF(A140="","",SUM(E140:I140))</x:f>
      </x:c>
      <x:c r="K140" s="72"/>
      <x:c r="L140" s="72"/>
      <x:c r="M140" s="72"/>
      <x:c r="N140" s="72"/>
      <x:c r="O140" s="72"/>
      <x:c r="P140" s="72"/>
      <x:c r="Q140" s="72"/>
    </x:row>
    <x:row r="141">
      <x:c r="A141" s="72"/>
      <x:c r="B141" s="72"/>
      <x:c r="C141" s="72"/>
      <x:c r="D141" s="72"/>
      <x:c r="E141" s="73"/>
      <x:c r="F141" s="73"/>
      <x:c r="G141" s="73"/>
      <x:c r="H141" s="73"/>
      <x:c r="I141" s="73"/>
      <x:c r="J141" s="75" t="str">
        <x:f>IF(A141="","",SUM(E141:I141))</x:f>
      </x:c>
      <x:c r="K141" s="72"/>
      <x:c r="L141" s="72"/>
      <x:c r="M141" s="72"/>
      <x:c r="N141" s="72"/>
      <x:c r="O141" s="72"/>
      <x:c r="P141" s="72"/>
      <x:c r="Q141" s="72"/>
    </x:row>
    <x:row r="142">
      <x:c r="A142" s="72"/>
      <x:c r="B142" s="72"/>
      <x:c r="C142" s="72"/>
      <x:c r="D142" s="72"/>
      <x:c r="E142" s="73"/>
      <x:c r="F142" s="73"/>
      <x:c r="G142" s="73"/>
      <x:c r="H142" s="73"/>
      <x:c r="I142" s="73"/>
      <x:c r="J142" s="75" t="str">
        <x:f>IF(A142="","",SUM(E142:I142))</x:f>
      </x:c>
      <x:c r="K142" s="72"/>
      <x:c r="L142" s="72"/>
      <x:c r="M142" s="72"/>
      <x:c r="N142" s="72"/>
      <x:c r="O142" s="72"/>
      <x:c r="P142" s="72"/>
      <x:c r="Q142" s="72"/>
    </x:row>
    <x:row r="143">
      <x:c r="A143" s="72"/>
      <x:c r="B143" s="72"/>
      <x:c r="C143" s="72"/>
      <x:c r="D143" s="72"/>
      <x:c r="E143" s="73"/>
      <x:c r="F143" s="73"/>
      <x:c r="G143" s="73"/>
      <x:c r="H143" s="73"/>
      <x:c r="I143" s="73"/>
      <x:c r="J143" s="75" t="str">
        <x:f>IF(A143="","",SUM(E143:I143))</x:f>
      </x:c>
      <x:c r="K143" s="72"/>
      <x:c r="L143" s="72"/>
      <x:c r="M143" s="72"/>
      <x:c r="N143" s="72"/>
      <x:c r="O143" s="72"/>
      <x:c r="P143" s="72"/>
      <x:c r="Q143" s="72"/>
    </x:row>
    <x:row r="144">
      <x:c r="A144" s="72"/>
      <x:c r="B144" s="72"/>
      <x:c r="C144" s="72"/>
      <x:c r="D144" s="72"/>
      <x:c r="E144" s="73"/>
      <x:c r="F144" s="73"/>
      <x:c r="G144" s="73"/>
      <x:c r="H144" s="73"/>
      <x:c r="I144" s="73"/>
      <x:c r="J144" s="75" t="str">
        <x:f>IF(A144="","",SUM(E144:I144))</x:f>
      </x:c>
      <x:c r="K144" s="72"/>
      <x:c r="L144" s="72"/>
      <x:c r="M144" s="72"/>
      <x:c r="N144" s="72"/>
      <x:c r="O144" s="72"/>
      <x:c r="P144" s="72"/>
      <x:c r="Q144" s="72"/>
    </x:row>
    <x:row r="145">
      <x:c r="A145" s="72"/>
      <x:c r="B145" s="72"/>
      <x:c r="C145" s="72"/>
      <x:c r="D145" s="72"/>
      <x:c r="E145" s="73"/>
      <x:c r="F145" s="73"/>
      <x:c r="G145" s="73"/>
      <x:c r="H145" s="73"/>
      <x:c r="I145" s="73"/>
      <x:c r="J145" s="75" t="str">
        <x:f>IF(A145="","",SUM(E145:I145))</x:f>
      </x:c>
      <x:c r="K145" s="72"/>
      <x:c r="L145" s="72"/>
      <x:c r="M145" s="72"/>
      <x:c r="N145" s="72"/>
      <x:c r="O145" s="72"/>
      <x:c r="P145" s="72"/>
      <x:c r="Q145" s="72"/>
    </x:row>
    <x:row r="146">
      <x:c r="A146" s="72"/>
      <x:c r="B146" s="72"/>
      <x:c r="C146" s="72"/>
      <x:c r="D146" s="72"/>
      <x:c r="E146" s="73"/>
      <x:c r="F146" s="73"/>
      <x:c r="G146" s="73"/>
      <x:c r="H146" s="73"/>
      <x:c r="I146" s="73"/>
      <x:c r="J146" s="75" t="str">
        <x:f>IF(A146="","",SUM(E146:I146))</x:f>
      </x:c>
      <x:c r="K146" s="72"/>
      <x:c r="L146" s="72"/>
      <x:c r="M146" s="72"/>
      <x:c r="N146" s="72"/>
      <x:c r="O146" s="72"/>
      <x:c r="P146" s="72"/>
      <x:c r="Q146" s="72"/>
    </x:row>
    <x:row r="147">
      <x:c r="A147" s="72"/>
      <x:c r="B147" s="72"/>
      <x:c r="C147" s="72"/>
      <x:c r="D147" s="72"/>
      <x:c r="E147" s="73"/>
      <x:c r="F147" s="73"/>
      <x:c r="G147" s="73"/>
      <x:c r="H147" s="73"/>
      <x:c r="I147" s="73"/>
      <x:c r="J147" s="75" t="str">
        <x:f>IF(A147="","",SUM(E147:I147))</x:f>
      </x:c>
      <x:c r="K147" s="72"/>
      <x:c r="L147" s="72"/>
      <x:c r="M147" s="72"/>
      <x:c r="N147" s="72"/>
      <x:c r="O147" s="72"/>
      <x:c r="P147" s="72"/>
      <x:c r="Q147" s="72"/>
    </x:row>
    <x:row r="148">
      <x:c r="A148" s="72"/>
      <x:c r="B148" s="72"/>
      <x:c r="C148" s="72"/>
      <x:c r="D148" s="72"/>
      <x:c r="E148" s="73"/>
      <x:c r="F148" s="73"/>
      <x:c r="G148" s="73"/>
      <x:c r="H148" s="73"/>
      <x:c r="I148" s="73"/>
      <x:c r="J148" s="75" t="str">
        <x:f>IF(A148="","",SUM(E148:I148))</x:f>
      </x:c>
      <x:c r="K148" s="72"/>
      <x:c r="L148" s="72"/>
      <x:c r="M148" s="72"/>
      <x:c r="N148" s="72"/>
      <x:c r="O148" s="72"/>
      <x:c r="P148" s="72"/>
      <x:c r="Q148" s="72"/>
    </x:row>
    <x:row r="149">
      <x:c r="A149" s="72"/>
      <x:c r="B149" s="72"/>
      <x:c r="C149" s="72"/>
      <x:c r="D149" s="72"/>
      <x:c r="E149" s="73"/>
      <x:c r="F149" s="73"/>
      <x:c r="G149" s="73"/>
      <x:c r="H149" s="73"/>
      <x:c r="I149" s="73"/>
      <x:c r="J149" s="75" t="str">
        <x:f>IF(A149="","",SUM(E149:I149))</x:f>
      </x:c>
      <x:c r="K149" s="72"/>
      <x:c r="L149" s="72"/>
      <x:c r="M149" s="72"/>
      <x:c r="N149" s="72"/>
      <x:c r="O149" s="72"/>
      <x:c r="P149" s="72"/>
      <x:c r="Q149" s="72"/>
    </x:row>
    <x:row r="150">
      <x:c r="A150" s="72"/>
      <x:c r="B150" s="72"/>
      <x:c r="C150" s="72"/>
      <x:c r="D150" s="72"/>
      <x:c r="E150" s="73"/>
      <x:c r="F150" s="73"/>
      <x:c r="G150" s="73"/>
      <x:c r="H150" s="73"/>
      <x:c r="I150" s="73"/>
      <x:c r="J150" s="75" t="str">
        <x:f>IF(A150="","",SUM(E150:I150))</x:f>
      </x:c>
      <x:c r="K150" s="72"/>
      <x:c r="L150" s="72"/>
      <x:c r="M150" s="72"/>
      <x:c r="N150" s="72"/>
      <x:c r="O150" s="72"/>
      <x:c r="P150" s="72"/>
      <x:c r="Q150" s="72"/>
    </x:row>
    <x:row r="151">
      <x:c r="A151" s="72"/>
      <x:c r="B151" s="72"/>
      <x:c r="C151" s="72"/>
      <x:c r="D151" s="72"/>
      <x:c r="E151" s="73"/>
      <x:c r="F151" s="73"/>
      <x:c r="G151" s="73"/>
      <x:c r="H151" s="73"/>
      <x:c r="I151" s="73"/>
      <x:c r="J151" s="75" t="str">
        <x:f>IF(A151="","",SUM(E151:I151))</x:f>
      </x:c>
      <x:c r="K151" s="72"/>
      <x:c r="L151" s="72"/>
      <x:c r="M151" s="72"/>
      <x:c r="N151" s="72"/>
      <x:c r="O151" s="72"/>
      <x:c r="P151" s="72"/>
      <x:c r="Q151" s="72"/>
    </x:row>
    <x:row r="152">
      <x:c r="A152" s="72"/>
      <x:c r="B152" s="72"/>
      <x:c r="C152" s="72"/>
      <x:c r="D152" s="72"/>
      <x:c r="E152" s="73"/>
      <x:c r="F152" s="73"/>
      <x:c r="G152" s="73"/>
      <x:c r="H152" s="73"/>
      <x:c r="I152" s="73"/>
      <x:c r="J152" s="75" t="str">
        <x:f>IF(A152="","",SUM(E152:I152))</x:f>
      </x:c>
      <x:c r="K152" s="72"/>
      <x:c r="L152" s="72"/>
      <x:c r="M152" s="72"/>
      <x:c r="N152" s="72"/>
      <x:c r="O152" s="72"/>
      <x:c r="P152" s="72"/>
      <x:c r="Q152" s="72"/>
    </x:row>
    <x:row r="153">
      <x:c r="A153" s="72"/>
      <x:c r="B153" s="72"/>
      <x:c r="C153" s="72"/>
      <x:c r="D153" s="72"/>
      <x:c r="E153" s="73"/>
      <x:c r="F153" s="73"/>
      <x:c r="G153" s="73"/>
      <x:c r="H153" s="73"/>
      <x:c r="I153" s="73"/>
      <x:c r="J153" s="75" t="str">
        <x:f>IF(A153="","",SUM(E153:I153))</x:f>
      </x:c>
      <x:c r="K153" s="72"/>
      <x:c r="L153" s="72"/>
      <x:c r="M153" s="72"/>
      <x:c r="N153" s="72"/>
      <x:c r="O153" s="72"/>
      <x:c r="P153" s="72"/>
      <x:c r="Q153" s="72"/>
    </x:row>
    <x:row r="154">
      <x:c r="A154" s="72"/>
      <x:c r="B154" s="72"/>
      <x:c r="C154" s="72"/>
      <x:c r="D154" s="72"/>
      <x:c r="E154" s="73"/>
      <x:c r="F154" s="73"/>
      <x:c r="G154" s="73"/>
      <x:c r="H154" s="73"/>
      <x:c r="I154" s="73"/>
      <x:c r="J154" s="75" t="str">
        <x:f>IF(A154="","",SUM(E154:I154))</x:f>
      </x:c>
      <x:c r="K154" s="72"/>
      <x:c r="L154" s="72"/>
      <x:c r="M154" s="72"/>
      <x:c r="N154" s="72"/>
      <x:c r="O154" s="72"/>
      <x:c r="P154" s="72"/>
      <x:c r="Q154" s="72"/>
    </x:row>
    <x:row r="155">
      <x:c r="A155" s="72"/>
      <x:c r="B155" s="72"/>
      <x:c r="C155" s="72"/>
      <x:c r="D155" s="72"/>
      <x:c r="E155" s="73"/>
      <x:c r="F155" s="73"/>
      <x:c r="G155" s="73"/>
      <x:c r="H155" s="73"/>
      <x:c r="I155" s="73"/>
      <x:c r="J155" s="75" t="str">
        <x:f>IF(A155="","",SUM(E155:I155))</x:f>
      </x:c>
      <x:c r="K155" s="72"/>
      <x:c r="L155" s="72"/>
      <x:c r="M155" s="72"/>
      <x:c r="N155" s="72"/>
      <x:c r="O155" s="72"/>
      <x:c r="P155" s="72"/>
      <x:c r="Q155" s="72"/>
    </x:row>
    <x:row r="156">
      <x:c r="A156" s="72"/>
      <x:c r="B156" s="72"/>
      <x:c r="C156" s="72"/>
      <x:c r="D156" s="72"/>
      <x:c r="E156" s="73"/>
      <x:c r="F156" s="73"/>
      <x:c r="G156" s="73"/>
      <x:c r="H156" s="73"/>
      <x:c r="I156" s="73"/>
      <x:c r="J156" s="75" t="str">
        <x:f>IF(A156="","",SUM(E156:I156))</x:f>
      </x:c>
      <x:c r="K156" s="72"/>
      <x:c r="L156" s="72"/>
      <x:c r="M156" s="72"/>
      <x:c r="N156" s="72"/>
      <x:c r="O156" s="72"/>
      <x:c r="P156" s="72"/>
      <x:c r="Q156" s="72"/>
    </x:row>
    <x:row r="157">
      <x:c r="A157" s="72"/>
      <x:c r="B157" s="72"/>
      <x:c r="C157" s="72"/>
      <x:c r="D157" s="72"/>
      <x:c r="E157" s="73"/>
      <x:c r="F157" s="73"/>
      <x:c r="G157" s="73"/>
      <x:c r="H157" s="73"/>
      <x:c r="I157" s="73"/>
      <x:c r="J157" s="75" t="str">
        <x:f>IF(A157="","",SUM(E157:I157))</x:f>
      </x:c>
      <x:c r="K157" s="72"/>
      <x:c r="L157" s="72"/>
      <x:c r="M157" s="72"/>
      <x:c r="N157" s="72"/>
      <x:c r="O157" s="72"/>
      <x:c r="P157" s="72"/>
      <x:c r="Q157" s="72"/>
    </x:row>
    <x:row r="158">
      <x:c r="A158" s="72"/>
      <x:c r="B158" s="72"/>
      <x:c r="C158" s="72"/>
      <x:c r="D158" s="72"/>
      <x:c r="E158" s="73"/>
      <x:c r="F158" s="73"/>
      <x:c r="G158" s="73"/>
      <x:c r="H158" s="73"/>
      <x:c r="I158" s="73"/>
      <x:c r="J158" s="75" t="str">
        <x:f>IF(A158="","",SUM(E158:I158))</x:f>
      </x:c>
      <x:c r="K158" s="72"/>
      <x:c r="L158" s="72"/>
      <x:c r="M158" s="72"/>
      <x:c r="N158" s="72"/>
      <x:c r="O158" s="72"/>
      <x:c r="P158" s="72"/>
      <x:c r="Q158" s="72"/>
    </x:row>
    <x:row r="159">
      <x:c r="A159" s="72"/>
      <x:c r="B159" s="72"/>
      <x:c r="C159" s="72"/>
      <x:c r="D159" s="72"/>
      <x:c r="E159" s="73"/>
      <x:c r="F159" s="73"/>
      <x:c r="G159" s="73"/>
      <x:c r="H159" s="73"/>
      <x:c r="I159" s="73"/>
      <x:c r="J159" s="75" t="str">
        <x:f>IF(A159="","",SUM(E159:I159))</x:f>
      </x:c>
      <x:c r="K159" s="72"/>
      <x:c r="L159" s="72"/>
      <x:c r="M159" s="72"/>
      <x:c r="N159" s="72"/>
      <x:c r="O159" s="72"/>
      <x:c r="P159" s="72"/>
      <x:c r="Q159" s="72"/>
    </x:row>
    <x:row r="160">
      <x:c r="A160" s="72"/>
      <x:c r="B160" s="72"/>
      <x:c r="C160" s="72"/>
      <x:c r="D160" s="72"/>
      <x:c r="E160" s="73"/>
      <x:c r="F160" s="73"/>
      <x:c r="G160" s="73"/>
      <x:c r="H160" s="73"/>
      <x:c r="I160" s="73"/>
      <x:c r="J160" s="75" t="str">
        <x:f>IF(A160="","",SUM(E160:I160))</x:f>
      </x:c>
      <x:c r="K160" s="72"/>
      <x:c r="L160" s="72"/>
      <x:c r="M160" s="72"/>
      <x:c r="N160" s="72"/>
      <x:c r="O160" s="72"/>
      <x:c r="P160" s="72"/>
      <x:c r="Q160" s="72"/>
    </x:row>
    <x:row r="161">
      <x:c r="A161" s="72"/>
      <x:c r="B161" s="72"/>
      <x:c r="C161" s="72"/>
      <x:c r="D161" s="72"/>
      <x:c r="E161" s="73"/>
      <x:c r="F161" s="73"/>
      <x:c r="G161" s="73"/>
      <x:c r="H161" s="73"/>
      <x:c r="I161" s="73"/>
      <x:c r="J161" s="75" t="str">
        <x:f>IF(A161="","",SUM(E161:I161))</x:f>
      </x:c>
      <x:c r="K161" s="72"/>
      <x:c r="L161" s="72"/>
      <x:c r="M161" s="72"/>
      <x:c r="N161" s="72"/>
      <x:c r="O161" s="72"/>
      <x:c r="P161" s="72"/>
      <x:c r="Q161" s="72"/>
    </x:row>
    <x:row r="162">
      <x:c r="A162" s="72"/>
      <x:c r="B162" s="72"/>
      <x:c r="C162" s="72"/>
      <x:c r="D162" s="72"/>
      <x:c r="E162" s="73"/>
      <x:c r="F162" s="73"/>
      <x:c r="G162" s="73"/>
      <x:c r="H162" s="73"/>
      <x:c r="I162" s="73"/>
      <x:c r="J162" s="75" t="str">
        <x:f>IF(A162="","",SUM(E162:I162))</x:f>
      </x:c>
      <x:c r="K162" s="72"/>
      <x:c r="L162" s="72"/>
      <x:c r="M162" s="72"/>
      <x:c r="N162" s="72"/>
      <x:c r="O162" s="72"/>
      <x:c r="P162" s="72"/>
      <x:c r="Q162" s="72"/>
    </x:row>
    <x:row r="163">
      <x:c r="A163" s="72"/>
      <x:c r="B163" s="72"/>
      <x:c r="C163" s="72"/>
      <x:c r="D163" s="72"/>
      <x:c r="E163" s="73"/>
      <x:c r="F163" s="73"/>
      <x:c r="G163" s="73"/>
      <x:c r="H163" s="73"/>
      <x:c r="I163" s="73"/>
      <x:c r="J163" s="75" t="str">
        <x:f>IF(A163="","",SUM(E163:I163))</x:f>
      </x:c>
      <x:c r="K163" s="72"/>
      <x:c r="L163" s="72"/>
      <x:c r="M163" s="72"/>
      <x:c r="N163" s="72"/>
      <x:c r="O163" s="72"/>
      <x:c r="P163" s="72"/>
      <x:c r="Q163" s="72"/>
    </x:row>
    <x:row r="164">
      <x:c r="A164" s="72"/>
      <x:c r="B164" s="72"/>
      <x:c r="C164" s="72"/>
      <x:c r="D164" s="72"/>
      <x:c r="E164" s="73"/>
      <x:c r="F164" s="73"/>
      <x:c r="G164" s="73"/>
      <x:c r="H164" s="73"/>
      <x:c r="I164" s="73"/>
      <x:c r="J164" s="75" t="str">
        <x:f>IF(A164="","",SUM(E164:I164))</x:f>
      </x:c>
      <x:c r="K164" s="72"/>
      <x:c r="L164" s="72"/>
      <x:c r="M164" s="72"/>
      <x:c r="N164" s="72"/>
      <x:c r="O164" s="72"/>
      <x:c r="P164" s="72"/>
      <x:c r="Q164" s="72"/>
    </x:row>
    <x:row r="165">
      <x:c r="A165" s="72"/>
      <x:c r="B165" s="72"/>
      <x:c r="C165" s="72"/>
      <x:c r="D165" s="72"/>
      <x:c r="E165" s="73"/>
      <x:c r="F165" s="73"/>
      <x:c r="G165" s="73"/>
      <x:c r="H165" s="73"/>
      <x:c r="I165" s="73"/>
      <x:c r="J165" s="75" t="str">
        <x:f>IF(A165="","",SUM(E165:I165))</x:f>
      </x:c>
      <x:c r="K165" s="72"/>
      <x:c r="L165" s="72"/>
      <x:c r="M165" s="72"/>
      <x:c r="N165" s="72"/>
      <x:c r="O165" s="72"/>
      <x:c r="P165" s="72"/>
      <x:c r="Q165" s="72"/>
    </x:row>
    <x:row r="166">
      <x:c r="A166" s="72"/>
      <x:c r="B166" s="72"/>
      <x:c r="C166" s="72"/>
      <x:c r="D166" s="72"/>
      <x:c r="E166" s="73"/>
      <x:c r="F166" s="73"/>
      <x:c r="G166" s="73"/>
      <x:c r="H166" s="73"/>
      <x:c r="I166" s="73"/>
      <x:c r="J166" s="75" t="str">
        <x:f>IF(A166="","",SUM(E166:I166))</x:f>
      </x:c>
      <x:c r="K166" s="72"/>
      <x:c r="L166" s="72"/>
      <x:c r="M166" s="72"/>
      <x:c r="N166" s="72"/>
      <x:c r="O166" s="72"/>
      <x:c r="P166" s="72"/>
      <x:c r="Q166" s="72"/>
    </x:row>
    <x:row r="167">
      <x:c r="A167" s="72"/>
      <x:c r="B167" s="72"/>
      <x:c r="C167" s="72"/>
      <x:c r="D167" s="72"/>
      <x:c r="E167" s="73"/>
      <x:c r="F167" s="73"/>
      <x:c r="G167" s="73"/>
      <x:c r="H167" s="73"/>
      <x:c r="I167" s="73"/>
      <x:c r="J167" s="75" t="str">
        <x:f>IF(A167="","",SUM(E167:I167))</x:f>
      </x:c>
      <x:c r="K167" s="72"/>
      <x:c r="L167" s="72"/>
      <x:c r="M167" s="72"/>
      <x:c r="N167" s="72"/>
      <x:c r="O167" s="72"/>
      <x:c r="P167" s="72"/>
      <x:c r="Q167" s="72"/>
    </x:row>
    <x:row r="168">
      <x:c r="A168" s="72"/>
      <x:c r="B168" s="72"/>
      <x:c r="C168" s="72"/>
      <x:c r="D168" s="72"/>
      <x:c r="E168" s="73"/>
      <x:c r="F168" s="73"/>
      <x:c r="G168" s="73"/>
      <x:c r="H168" s="73"/>
      <x:c r="I168" s="73"/>
      <x:c r="J168" s="75" t="str">
        <x:f>IF(A168="","",SUM(E168:I168))</x:f>
      </x:c>
      <x:c r="K168" s="72"/>
      <x:c r="L168" s="72"/>
      <x:c r="M168" s="72"/>
      <x:c r="N168" s="72"/>
      <x:c r="O168" s="72"/>
      <x:c r="P168" s="72"/>
      <x:c r="Q168" s="72"/>
    </x:row>
    <x:row r="169">
      <x:c r="A169" s="72"/>
      <x:c r="B169" s="72"/>
      <x:c r="C169" s="72"/>
      <x:c r="D169" s="72"/>
      <x:c r="E169" s="73"/>
      <x:c r="F169" s="73"/>
      <x:c r="G169" s="73"/>
      <x:c r="H169" s="73"/>
      <x:c r="I169" s="73"/>
      <x:c r="J169" s="75" t="str">
        <x:f>IF(A169="","",SUM(E169:I169))</x:f>
      </x:c>
      <x:c r="K169" s="72"/>
      <x:c r="L169" s="72"/>
      <x:c r="M169" s="72"/>
      <x:c r="N169" s="72"/>
      <x:c r="O169" s="72"/>
      <x:c r="P169" s="72"/>
      <x:c r="Q169" s="72"/>
    </x:row>
    <x:row r="170">
      <x:c r="A170" s="72"/>
      <x:c r="B170" s="72"/>
      <x:c r="C170" s="72"/>
      <x:c r="D170" s="72"/>
      <x:c r="E170" s="73"/>
      <x:c r="F170" s="73"/>
      <x:c r="G170" s="73"/>
      <x:c r="H170" s="73"/>
      <x:c r="I170" s="73"/>
      <x:c r="J170" s="75" t="str">
        <x:f>IF(A170="","",SUM(E170:I170))</x:f>
      </x:c>
      <x:c r="K170" s="72"/>
      <x:c r="L170" s="72"/>
      <x:c r="M170" s="72"/>
      <x:c r="N170" s="72"/>
      <x:c r="O170" s="72"/>
      <x:c r="P170" s="72"/>
      <x:c r="Q170" s="72"/>
    </x:row>
    <x:row r="171">
      <x:c r="A171" s="72"/>
      <x:c r="B171" s="72"/>
      <x:c r="C171" s="72"/>
      <x:c r="D171" s="72"/>
      <x:c r="E171" s="73"/>
      <x:c r="F171" s="73"/>
      <x:c r="G171" s="73"/>
      <x:c r="H171" s="73"/>
      <x:c r="I171" s="73"/>
      <x:c r="J171" s="75" t="str">
        <x:f>IF(A171="","",SUM(E171:I171))</x:f>
      </x:c>
      <x:c r="K171" s="72"/>
      <x:c r="L171" s="72"/>
      <x:c r="M171" s="72"/>
      <x:c r="N171" s="72"/>
      <x:c r="O171" s="72"/>
      <x:c r="P171" s="72"/>
      <x:c r="Q171" s="72"/>
    </x:row>
    <x:row r="172">
      <x:c r="A172" s="72"/>
      <x:c r="B172" s="72"/>
      <x:c r="C172" s="72"/>
      <x:c r="D172" s="72"/>
      <x:c r="E172" s="73"/>
      <x:c r="F172" s="73"/>
      <x:c r="G172" s="73"/>
      <x:c r="H172" s="73"/>
      <x:c r="I172" s="73"/>
      <x:c r="J172" s="75" t="str">
        <x:f>IF(A172="","",SUM(E172:I172))</x:f>
      </x:c>
      <x:c r="K172" s="72"/>
      <x:c r="L172" s="72"/>
      <x:c r="M172" s="72"/>
      <x:c r="N172" s="72"/>
      <x:c r="O172" s="72"/>
      <x:c r="P172" s="72"/>
      <x:c r="Q172" s="72"/>
    </x:row>
    <x:row r="173">
      <x:c r="A173" s="72"/>
      <x:c r="B173" s="72"/>
      <x:c r="C173" s="72"/>
      <x:c r="D173" s="72"/>
      <x:c r="E173" s="73"/>
      <x:c r="F173" s="73"/>
      <x:c r="G173" s="73"/>
      <x:c r="H173" s="73"/>
      <x:c r="I173" s="73"/>
      <x:c r="J173" s="75" t="str">
        <x:f>IF(A173="","",SUM(E173:I173))</x:f>
      </x:c>
      <x:c r="K173" s="72"/>
      <x:c r="L173" s="72"/>
      <x:c r="M173" s="72"/>
      <x:c r="N173" s="72"/>
      <x:c r="O173" s="72"/>
      <x:c r="P173" s="72"/>
      <x:c r="Q173" s="72"/>
    </x:row>
    <x:row r="174">
      <x:c r="A174" s="72"/>
      <x:c r="B174" s="72"/>
      <x:c r="C174" s="72"/>
      <x:c r="D174" s="72"/>
      <x:c r="E174" s="73"/>
      <x:c r="F174" s="73"/>
      <x:c r="G174" s="73"/>
      <x:c r="H174" s="73"/>
      <x:c r="I174" s="73"/>
      <x:c r="J174" s="75" t="str">
        <x:f>IF(A174="","",SUM(E174:I174))</x:f>
      </x:c>
      <x:c r="K174" s="72"/>
      <x:c r="L174" s="72"/>
      <x:c r="M174" s="72"/>
      <x:c r="N174" s="72"/>
      <x:c r="O174" s="72"/>
      <x:c r="P174" s="72"/>
      <x:c r="Q174" s="72"/>
    </x:row>
    <x:row r="175">
      <x:c r="A175" s="72"/>
      <x:c r="B175" s="72"/>
      <x:c r="C175" s="72"/>
      <x:c r="D175" s="72"/>
      <x:c r="E175" s="73"/>
      <x:c r="F175" s="73"/>
      <x:c r="G175" s="73"/>
      <x:c r="H175" s="73"/>
      <x:c r="I175" s="73"/>
      <x:c r="J175" s="75" t="str">
        <x:f>IF(A175="","",SUM(E175:I175))</x:f>
      </x:c>
      <x:c r="K175" s="72"/>
      <x:c r="L175" s="72"/>
      <x:c r="M175" s="72"/>
      <x:c r="N175" s="72"/>
      <x:c r="O175" s="72"/>
      <x:c r="P175" s="72"/>
      <x:c r="Q175" s="72"/>
    </x:row>
    <x:row r="176">
      <x:c r="A176" s="72"/>
      <x:c r="B176" s="72"/>
      <x:c r="C176" s="72"/>
      <x:c r="D176" s="72"/>
      <x:c r="E176" s="73"/>
      <x:c r="F176" s="73"/>
      <x:c r="G176" s="73"/>
      <x:c r="H176" s="73"/>
      <x:c r="I176" s="73"/>
      <x:c r="J176" s="75" t="str">
        <x:f>IF(A176="","",SUM(E176:I176))</x:f>
      </x:c>
      <x:c r="K176" s="72"/>
      <x:c r="L176" s="72"/>
      <x:c r="M176" s="72"/>
      <x:c r="N176" s="72"/>
      <x:c r="O176" s="72"/>
      <x:c r="P176" s="72"/>
      <x:c r="Q176" s="72"/>
    </x:row>
    <x:row r="177">
      <x:c r="A177" s="72"/>
      <x:c r="B177" s="72"/>
      <x:c r="C177" s="72"/>
      <x:c r="D177" s="72"/>
      <x:c r="E177" s="73"/>
      <x:c r="F177" s="73"/>
      <x:c r="G177" s="73"/>
      <x:c r="H177" s="73"/>
      <x:c r="I177" s="73"/>
      <x:c r="J177" s="75" t="str">
        <x:f>IF(A177="","",SUM(E177:I177))</x:f>
      </x:c>
      <x:c r="K177" s="72"/>
      <x:c r="L177" s="72"/>
      <x:c r="M177" s="72"/>
      <x:c r="N177" s="72"/>
      <x:c r="O177" s="72"/>
      <x:c r="P177" s="72"/>
      <x:c r="Q177" s="72"/>
    </x:row>
    <x:row r="178">
      <x:c r="A178" s="72"/>
      <x:c r="B178" s="72"/>
      <x:c r="C178" s="72"/>
      <x:c r="D178" s="72"/>
      <x:c r="E178" s="73"/>
      <x:c r="F178" s="73"/>
      <x:c r="G178" s="73"/>
      <x:c r="H178" s="73"/>
      <x:c r="I178" s="73"/>
      <x:c r="J178" s="75" t="str">
        <x:f>IF(A178="","",SUM(E178:I178))</x:f>
      </x:c>
      <x:c r="K178" s="72"/>
      <x:c r="L178" s="72"/>
      <x:c r="M178" s="72"/>
      <x:c r="N178" s="72"/>
      <x:c r="O178" s="72"/>
      <x:c r="P178" s="72"/>
      <x:c r="Q178" s="72"/>
    </x:row>
    <x:row r="179">
      <x:c r="A179" s="72"/>
      <x:c r="B179" s="72"/>
      <x:c r="C179" s="72"/>
      <x:c r="D179" s="72"/>
      <x:c r="E179" s="73"/>
      <x:c r="F179" s="73"/>
      <x:c r="G179" s="73"/>
      <x:c r="H179" s="73"/>
      <x:c r="I179" s="73"/>
      <x:c r="J179" s="75" t="str">
        <x:f>IF(A179="","",SUM(E179:I179))</x:f>
      </x:c>
      <x:c r="K179" s="72"/>
      <x:c r="L179" s="72"/>
      <x:c r="M179" s="72"/>
      <x:c r="N179" s="72"/>
      <x:c r="O179" s="72"/>
      <x:c r="P179" s="72"/>
      <x:c r="Q179" s="72"/>
    </x:row>
    <x:row r="180">
      <x:c r="A180" s="72"/>
      <x:c r="B180" s="72"/>
      <x:c r="C180" s="72"/>
      <x:c r="D180" s="72"/>
      <x:c r="E180" s="73"/>
      <x:c r="F180" s="73"/>
      <x:c r="G180" s="73"/>
      <x:c r="H180" s="73"/>
      <x:c r="I180" s="73"/>
      <x:c r="J180" s="75" t="str">
        <x:f>IF(A180="","",SUM(E180:I180))</x:f>
      </x:c>
      <x:c r="K180" s="72"/>
      <x:c r="L180" s="72"/>
      <x:c r="M180" s="72"/>
      <x:c r="N180" s="72"/>
      <x:c r="O180" s="72"/>
      <x:c r="P180" s="72"/>
      <x:c r="Q180" s="72"/>
    </x:row>
    <x:row r="181">
      <x:c r="A181" s="72"/>
      <x:c r="B181" s="72"/>
      <x:c r="C181" s="72"/>
      <x:c r="D181" s="72"/>
      <x:c r="E181" s="73"/>
      <x:c r="F181" s="73"/>
      <x:c r="G181" s="73"/>
      <x:c r="H181" s="73"/>
      <x:c r="I181" s="73"/>
      <x:c r="J181" s="75" t="str">
        <x:f>IF(A181="","",SUM(E181:I181))</x:f>
      </x:c>
      <x:c r="K181" s="72"/>
      <x:c r="L181" s="72"/>
      <x:c r="M181" s="72"/>
      <x:c r="N181" s="72"/>
      <x:c r="O181" s="72"/>
      <x:c r="P181" s="72"/>
      <x:c r="Q181" s="72"/>
    </x:row>
    <x:row r="182">
      <x:c r="A182" s="72"/>
      <x:c r="B182" s="72"/>
      <x:c r="C182" s="72"/>
      <x:c r="D182" s="72"/>
      <x:c r="E182" s="73"/>
      <x:c r="F182" s="73"/>
      <x:c r="G182" s="73"/>
      <x:c r="H182" s="73"/>
      <x:c r="I182" s="73"/>
      <x:c r="J182" s="75" t="str">
        <x:f>IF(A182="","",SUM(E182:I182))</x:f>
      </x:c>
      <x:c r="K182" s="72"/>
      <x:c r="L182" s="72"/>
      <x:c r="M182" s="72"/>
      <x:c r="N182" s="72"/>
      <x:c r="O182" s="72"/>
      <x:c r="P182" s="72"/>
      <x:c r="Q182" s="72"/>
    </x:row>
    <x:row r="183">
      <x:c r="A183" s="72"/>
      <x:c r="B183" s="72"/>
      <x:c r="C183" s="72"/>
      <x:c r="D183" s="72"/>
      <x:c r="E183" s="73"/>
      <x:c r="F183" s="73"/>
      <x:c r="G183" s="73"/>
      <x:c r="H183" s="73"/>
      <x:c r="I183" s="73"/>
      <x:c r="J183" s="75" t="str">
        <x:f>IF(A183="","",SUM(E183:I183))</x:f>
      </x:c>
      <x:c r="K183" s="72"/>
      <x:c r="L183" s="72"/>
      <x:c r="M183" s="72"/>
      <x:c r="N183" s="72"/>
      <x:c r="O183" s="72"/>
      <x:c r="P183" s="72"/>
      <x:c r="Q183" s="72"/>
    </x:row>
    <x:row r="184">
      <x:c r="A184" s="72"/>
      <x:c r="B184" s="72"/>
      <x:c r="C184" s="72"/>
      <x:c r="D184" s="72"/>
      <x:c r="E184" s="73"/>
      <x:c r="F184" s="73"/>
      <x:c r="G184" s="73"/>
      <x:c r="H184" s="73"/>
      <x:c r="I184" s="73"/>
      <x:c r="J184" s="75" t="str">
        <x:f>IF(A184="","",SUM(E184:I184))</x:f>
      </x:c>
      <x:c r="K184" s="72"/>
      <x:c r="L184" s="72"/>
      <x:c r="M184" s="72"/>
      <x:c r="N184" s="72"/>
      <x:c r="O184" s="72"/>
      <x:c r="P184" s="72"/>
      <x:c r="Q184" s="72"/>
    </x:row>
    <x:row r="185">
      <x:c r="A185" s="72"/>
      <x:c r="B185" s="72"/>
      <x:c r="C185" s="72"/>
      <x:c r="D185" s="72"/>
      <x:c r="E185" s="73"/>
      <x:c r="F185" s="73"/>
      <x:c r="G185" s="73"/>
      <x:c r="H185" s="73"/>
      <x:c r="I185" s="73"/>
      <x:c r="J185" s="75" t="str">
        <x:f>IF(A185="","",SUM(E185:I185))</x:f>
      </x:c>
      <x:c r="K185" s="72"/>
      <x:c r="L185" s="72"/>
      <x:c r="M185" s="72"/>
      <x:c r="N185" s="72"/>
      <x:c r="O185" s="72"/>
      <x:c r="P185" s="72"/>
      <x:c r="Q185" s="72"/>
    </x:row>
    <x:row r="186">
      <x:c r="A186" s="72"/>
      <x:c r="B186" s="72"/>
      <x:c r="C186" s="72"/>
      <x:c r="D186" s="72"/>
      <x:c r="E186" s="73"/>
      <x:c r="F186" s="73"/>
      <x:c r="G186" s="73"/>
      <x:c r="H186" s="73"/>
      <x:c r="I186" s="73"/>
      <x:c r="J186" s="75" t="str">
        <x:f>IF(A186="","",SUM(E186:I186))</x:f>
      </x:c>
      <x:c r="K186" s="72"/>
      <x:c r="L186" s="72"/>
      <x:c r="M186" s="72"/>
      <x:c r="N186" s="72"/>
      <x:c r="O186" s="72"/>
      <x:c r="P186" s="72"/>
      <x:c r="Q186" s="72"/>
    </x:row>
    <x:row r="187">
      <x:c r="A187" s="72"/>
      <x:c r="B187" s="72"/>
      <x:c r="C187" s="72"/>
      <x:c r="D187" s="72"/>
      <x:c r="E187" s="73"/>
      <x:c r="F187" s="73"/>
      <x:c r="G187" s="73"/>
      <x:c r="H187" s="73"/>
      <x:c r="I187" s="73"/>
      <x:c r="J187" s="75" t="str">
        <x:f>IF(A187="","",SUM(E187:I187))</x:f>
      </x:c>
      <x:c r="K187" s="72"/>
      <x:c r="L187" s="72"/>
      <x:c r="M187" s="72"/>
      <x:c r="N187" s="72"/>
      <x:c r="O187" s="72"/>
      <x:c r="P187" s="72"/>
      <x:c r="Q187" s="72"/>
    </x:row>
    <x:row r="188">
      <x:c r="A188" s="72"/>
      <x:c r="B188" s="72"/>
      <x:c r="C188" s="72"/>
      <x:c r="D188" s="72"/>
      <x:c r="E188" s="73"/>
      <x:c r="F188" s="73"/>
      <x:c r="G188" s="73"/>
      <x:c r="H188" s="73"/>
      <x:c r="I188" s="73"/>
      <x:c r="J188" s="75" t="str">
        <x:f>IF(A188="","",SUM(E188:I188))</x:f>
      </x:c>
      <x:c r="K188" s="72"/>
      <x:c r="L188" s="72"/>
      <x:c r="M188" s="72"/>
      <x:c r="N188" s="72"/>
      <x:c r="O188" s="72"/>
      <x:c r="P188" s="72"/>
      <x:c r="Q188" s="72"/>
    </x:row>
    <x:row r="189">
      <x:c r="A189" s="72"/>
      <x:c r="B189" s="72"/>
      <x:c r="C189" s="72"/>
      <x:c r="D189" s="72"/>
      <x:c r="E189" s="73"/>
      <x:c r="F189" s="73"/>
      <x:c r="G189" s="73"/>
      <x:c r="H189" s="73"/>
      <x:c r="I189" s="73"/>
      <x:c r="J189" s="75" t="str">
        <x:f>IF(A189="","",SUM(E189:I189))</x:f>
      </x:c>
      <x:c r="K189" s="72"/>
      <x:c r="L189" s="72"/>
      <x:c r="M189" s="72"/>
      <x:c r="N189" s="72"/>
      <x:c r="O189" s="72"/>
      <x:c r="P189" s="72"/>
      <x:c r="Q189" s="72"/>
    </x:row>
    <x:row r="190">
      <x:c r="A190" s="72"/>
      <x:c r="B190" s="72"/>
      <x:c r="C190" s="72"/>
      <x:c r="D190" s="72"/>
      <x:c r="E190" s="73"/>
      <x:c r="F190" s="73"/>
      <x:c r="G190" s="73"/>
      <x:c r="H190" s="73"/>
      <x:c r="I190" s="73"/>
      <x:c r="J190" s="75" t="str">
        <x:f>IF(A190="","",SUM(E190:I190))</x:f>
      </x:c>
      <x:c r="K190" s="72"/>
      <x:c r="L190" s="72"/>
      <x:c r="M190" s="72"/>
      <x:c r="N190" s="72"/>
      <x:c r="O190" s="72"/>
      <x:c r="P190" s="72"/>
      <x:c r="Q190" s="72"/>
    </x:row>
    <x:row r="191">
      <x:c r="A191" s="72"/>
      <x:c r="B191" s="72"/>
      <x:c r="C191" s="72"/>
      <x:c r="D191" s="72"/>
      <x:c r="E191" s="73"/>
      <x:c r="F191" s="73"/>
      <x:c r="G191" s="73"/>
      <x:c r="H191" s="73"/>
      <x:c r="I191" s="73"/>
      <x:c r="J191" s="75" t="str">
        <x:f>IF(A191="","",SUM(E191:I191))</x:f>
      </x:c>
      <x:c r="K191" s="72"/>
      <x:c r="L191" s="72"/>
      <x:c r="M191" s="72"/>
      <x:c r="N191" s="72"/>
      <x:c r="O191" s="72"/>
      <x:c r="P191" s="72"/>
      <x:c r="Q191" s="72"/>
    </x:row>
    <x:row r="192">
      <x:c r="A192" s="72"/>
      <x:c r="B192" s="72"/>
      <x:c r="C192" s="72"/>
      <x:c r="D192" s="72"/>
      <x:c r="E192" s="73"/>
      <x:c r="F192" s="73"/>
      <x:c r="G192" s="73"/>
      <x:c r="H192" s="73"/>
      <x:c r="I192" s="73"/>
      <x:c r="J192" s="75" t="str">
        <x:f>IF(A192="","",SUM(E192:I192))</x:f>
      </x:c>
      <x:c r="K192" s="72"/>
      <x:c r="L192" s="72"/>
      <x:c r="M192" s="72"/>
      <x:c r="N192" s="72"/>
      <x:c r="O192" s="72"/>
      <x:c r="P192" s="72"/>
      <x:c r="Q192" s="72"/>
    </x:row>
    <x:row r="193">
      <x:c r="A193" s="72"/>
      <x:c r="B193" s="72"/>
      <x:c r="C193" s="72"/>
      <x:c r="D193" s="72"/>
      <x:c r="E193" s="73"/>
      <x:c r="F193" s="73"/>
      <x:c r="G193" s="73"/>
      <x:c r="H193" s="73"/>
      <x:c r="I193" s="73"/>
      <x:c r="J193" s="75" t="str">
        <x:f>IF(A193="","",SUM(E193:I193))</x:f>
      </x:c>
      <x:c r="K193" s="72"/>
      <x:c r="L193" s="72"/>
      <x:c r="M193" s="72"/>
      <x:c r="N193" s="72"/>
      <x:c r="O193" s="72"/>
      <x:c r="P193" s="72"/>
      <x:c r="Q193" s="72"/>
    </x:row>
    <x:row r="194">
      <x:c r="A194" s="72"/>
      <x:c r="B194" s="72"/>
      <x:c r="C194" s="72"/>
      <x:c r="D194" s="72"/>
      <x:c r="E194" s="73"/>
      <x:c r="F194" s="73"/>
      <x:c r="G194" s="73"/>
      <x:c r="H194" s="73"/>
      <x:c r="I194" s="73"/>
      <x:c r="J194" s="75" t="str">
        <x:f>IF(A194="","",SUM(E194:I194))</x:f>
      </x:c>
      <x:c r="K194" s="72"/>
      <x:c r="L194" s="72"/>
      <x:c r="M194" s="72"/>
      <x:c r="N194" s="72"/>
      <x:c r="O194" s="72"/>
      <x:c r="P194" s="72"/>
      <x:c r="Q194" s="72"/>
    </x:row>
    <x:row r="195">
      <x:c r="A195" s="72"/>
      <x:c r="B195" s="72"/>
      <x:c r="C195" s="72"/>
      <x:c r="D195" s="72"/>
      <x:c r="E195" s="73"/>
      <x:c r="F195" s="73"/>
      <x:c r="G195" s="73"/>
      <x:c r="H195" s="73"/>
      <x:c r="I195" s="73"/>
      <x:c r="J195" s="75" t="str">
        <x:f>IF(A195="","",SUM(E195:I195))</x:f>
      </x:c>
      <x:c r="K195" s="72"/>
      <x:c r="L195" s="72"/>
      <x:c r="M195" s="72"/>
      <x:c r="N195" s="72"/>
      <x:c r="O195" s="72"/>
      <x:c r="P195" s="72"/>
      <x:c r="Q195" s="72"/>
    </x:row>
    <x:row r="196">
      <x:c r="A196" s="72"/>
      <x:c r="B196" s="72"/>
      <x:c r="C196" s="72"/>
      <x:c r="D196" s="72"/>
      <x:c r="E196" s="73"/>
      <x:c r="F196" s="73"/>
      <x:c r="G196" s="73"/>
      <x:c r="H196" s="73"/>
      <x:c r="I196" s="73"/>
      <x:c r="J196" s="75" t="str">
        <x:f>IF(A196="","",SUM(E196:I196))</x:f>
      </x:c>
      <x:c r="K196" s="72"/>
      <x:c r="L196" s="72"/>
      <x:c r="M196" s="72"/>
      <x:c r="N196" s="72"/>
      <x:c r="O196" s="72"/>
      <x:c r="P196" s="72"/>
      <x:c r="Q196" s="72"/>
    </x:row>
    <x:row r="197">
      <x:c r="A197" s="72"/>
      <x:c r="B197" s="72"/>
      <x:c r="C197" s="72"/>
      <x:c r="D197" s="72"/>
      <x:c r="E197" s="73"/>
      <x:c r="F197" s="73"/>
      <x:c r="G197" s="73"/>
      <x:c r="H197" s="73"/>
      <x:c r="I197" s="73"/>
      <x:c r="J197" s="75" t="str">
        <x:f>IF(A197="","",SUM(E197:I197))</x:f>
      </x:c>
      <x:c r="K197" s="72"/>
      <x:c r="L197" s="72"/>
      <x:c r="M197" s="72"/>
      <x:c r="N197" s="72"/>
      <x:c r="O197" s="72"/>
      <x:c r="P197" s="72"/>
      <x:c r="Q197" s="72"/>
    </x:row>
    <x:row r="198">
      <x:c r="A198" s="72"/>
      <x:c r="B198" s="72"/>
      <x:c r="C198" s="72"/>
      <x:c r="D198" s="72"/>
      <x:c r="E198" s="73"/>
      <x:c r="F198" s="73"/>
      <x:c r="G198" s="73"/>
      <x:c r="H198" s="73"/>
      <x:c r="I198" s="73"/>
      <x:c r="J198" s="75" t="str">
        <x:f>IF(A198="","",SUM(E198:I198))</x:f>
      </x:c>
      <x:c r="K198" s="72"/>
      <x:c r="L198" s="72"/>
      <x:c r="M198" s="72"/>
      <x:c r="N198" s="72"/>
      <x:c r="O198" s="72"/>
      <x:c r="P198" s="72"/>
      <x:c r="Q198" s="72"/>
    </x:row>
    <x:row r="199">
      <x:c r="A199" s="72"/>
      <x:c r="B199" s="72"/>
      <x:c r="C199" s="72"/>
      <x:c r="D199" s="72"/>
      <x:c r="E199" s="73"/>
      <x:c r="F199" s="73"/>
      <x:c r="G199" s="73"/>
      <x:c r="H199" s="73"/>
      <x:c r="I199" s="73"/>
      <x:c r="J199" s="75" t="str">
        <x:f>IF(A199="","",SUM(E199:I199))</x:f>
      </x:c>
      <x:c r="K199" s="72"/>
      <x:c r="L199" s="72"/>
      <x:c r="M199" s="72"/>
      <x:c r="N199" s="72"/>
      <x:c r="O199" s="72"/>
      <x:c r="P199" s="72"/>
      <x:c r="Q199" s="72"/>
    </x:row>
    <x:row r="200">
      <x:c r="A200" s="72"/>
      <x:c r="B200" s="72"/>
      <x:c r="C200" s="72"/>
      <x:c r="D200" s="72"/>
      <x:c r="E200" s="73"/>
      <x:c r="F200" s="73"/>
      <x:c r="G200" s="73"/>
      <x:c r="H200" s="73"/>
      <x:c r="I200" s="73"/>
      <x:c r="J200" s="75" t="str">
        <x:f>IF(A200="","",SUM(E200:I200))</x:f>
      </x:c>
      <x:c r="K200" s="72"/>
      <x:c r="L200" s="72"/>
      <x:c r="M200" s="72"/>
      <x:c r="N200" s="72"/>
      <x:c r="O200" s="72"/>
      <x:c r="P200" s="72"/>
      <x:c r="Q200" s="72"/>
    </x:row>
  </x:sheetData>
  <x:mergeCells>
    <x:mergeCell ref="A1:Q1"/>
  </x:mergeCells>
  <x:dataValidations count="1">
    <x:dataValidation type="list" sqref="N4:O200">
      <x:formula1>"Y,N"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30" hidden="0" customWidth="1"/>
    <x:col min="4" max="4" width="14" hidden="0" customWidth="1"/>
    <x:col min="5" max="5" width="14" hidden="0" customWidth="1"/>
    <x:col min="6" max="6" width="28" hidden="0" customWidth="1"/>
  </x:cols>
  <x:sheetData>
    <x:row r="1" ht="30" customHeight="1">
      <x:c r="A1" s="93" t="str">
        <x:v>정책 입력: 수요·재고·발주·예외·PO Match 기준</x:v>
      </x:c>
      <x:c r="B1" s="62"/>
      <x:c r="C1" s="62"/>
      <x:c r="D1" s="62"/>
      <x:c r="E1" s="62"/>
      <x:c r="F1" s="62"/>
    </x:row>
    <x:row r="2">
      <x:c r="A2" s="63"/>
      <x:c r="B2" s="63"/>
      <x:c r="C2" s="63"/>
      <x:c r="D2" s="63"/>
      <x:c r="E2" s="63"/>
      <x:c r="F2" s="63"/>
    </x:row>
    <x:row r="3">
      <x:c r="A3" s="67" t="str">
        <x:v>정책영역</x:v>
      </x:c>
      <x:c r="B3" s="67" t="str">
        <x:v>정책항목</x:v>
      </x:c>
      <x:c r="C3" s="67" t="str">
        <x:v>현재 적용값/선택값</x:v>
      </x:c>
      <x:c r="D3" s="67" t="str">
        <x:v>확정 필요 여부</x:v>
      </x:c>
      <x:c r="E3" s="67" t="str">
        <x:v>담당자</x:v>
      </x:c>
      <x:c r="F3" s="67" t="str">
        <x:v>비고</x:v>
      </x:c>
    </x:row>
    <x:row r="4">
      <x:c r="A4" s="72" t="str">
        <x:v>범위</x:v>
      </x:c>
      <x:c r="B4" s="72" t="str">
        <x:v>발주계획 기간</x:v>
      </x:c>
      <x:c r="C4" s="77" t="str">
        <x:v>당월/3개월/6개월/12개월</x:v>
      </x:c>
      <x:c r="D4" s="77" t="str">
        <x:v>확정 필요</x:v>
      </x:c>
      <x:c r="E4" s="77" t="str"/>
      <x:c r="F4" s="77" t="str"/>
    </x:row>
    <x:row r="5">
      <x:c r="A5" s="72" t="str">
        <x:v>수요</x:v>
      </x:c>
      <x:c r="B5" s="72" t="str">
        <x:v>수요 우선순위</x:v>
      </x:c>
      <x:c r="C5" s="77" t="str">
        <x:v>수급회의 확정수요 &gt; OL &gt; SFDC &gt; Trend</x:v>
      </x:c>
      <x:c r="D5" s="77" t="str">
        <x:v>확정 필요</x:v>
      </x:c>
      <x:c r="E5" s="77" t="str"/>
      <x:c r="F5" s="77" t="str">
        <x:v>불일치 시 우선순위</x:v>
      </x:c>
    </x:row>
    <x:row r="6">
      <x:c r="A6" s="72" t="str">
        <x:v>수요</x:v>
      </x:c>
      <x:c r="B6" s="72" t="str">
        <x:v>Bulk Deal 반영 수주가능성</x:v>
      </x:c>
      <x:c r="C6" s="77" t="str"/>
      <x:c r="D6" s="77" t="str">
        <x:v>확정 필요</x:v>
      </x:c>
      <x:c r="E6" s="77" t="str"/>
      <x:c r="F6" s="77" t="str">
        <x:v>% 기준 입력</x:v>
      </x:c>
    </x:row>
    <x:row r="7">
      <x:c r="A7" s="72" t="str">
        <x:v>수요</x:v>
      </x:c>
      <x:c r="B7" s="72" t="str">
        <x:v>수요 확정 마감일</x:v>
      </x:c>
      <x:c r="C7" s="77" t="str"/>
      <x:c r="D7" s="77" t="str">
        <x:v>확정 필요</x:v>
      </x:c>
      <x:c r="E7" s="77" t="str"/>
      <x:c r="F7" s="77" t="str">
        <x:v>월별 마감일</x:v>
      </x:c>
    </x:row>
    <x:row r="8">
      <x:c r="A8" s="72" t="str">
        <x:v>수요</x:v>
      </x:c>
      <x:c r="B8" s="72" t="str">
        <x:v>확정 후 수요변경 허용</x:v>
      </x:c>
      <x:c r="C8" s="77" t="str">
        <x:v>Y/N</x:v>
      </x:c>
      <x:c r="D8" s="77" t="str">
        <x:v>확정 필요</x:v>
      </x:c>
      <x:c r="E8" s="77" t="str"/>
      <x:c r="F8" s="77" t="str">
        <x:v>변경 승인 여부</x:v>
      </x:c>
    </x:row>
    <x:row r="9">
      <x:c r="A9" s="72" t="str">
        <x:v>재고</x:v>
      </x:c>
      <x:c r="B9" s="72" t="str">
        <x:v>예약재고 차감</x:v>
      </x:c>
      <x:c r="C9" s="77" t="str">
        <x:v>Y/N</x:v>
      </x:c>
      <x:c r="D9" s="77" t="str">
        <x:v>확정 필요</x:v>
      </x:c>
      <x:c r="E9" s="77" t="str"/>
      <x:c r="F9" s="77" t="str"/>
    </x:row>
    <x:row r="10">
      <x:c r="A10" s="72" t="str">
        <x:v>재고</x:v>
      </x:c>
      <x:c r="B10" s="72" t="str">
        <x:v>품질보류/수리중 재고 차감</x:v>
      </x:c>
      <x:c r="C10" s="77" t="str">
        <x:v>Y/N</x:v>
      </x:c>
      <x:c r="D10" s="77" t="str">
        <x:v>확정 필요</x:v>
      </x:c>
      <x:c r="E10" s="77" t="str"/>
      <x:c r="F10" s="77" t="str"/>
    </x:row>
    <x:row r="11">
      <x:c r="A11" s="72" t="str">
        <x:v>재고</x:v>
      </x:c>
      <x:c r="B11" s="72" t="str">
        <x:v>장기/불용재고 사용가능 처리</x:v>
      </x:c>
      <x:c r="C11" s="77" t="str">
        <x:v>Y/N</x:v>
      </x:c>
      <x:c r="D11" s="77" t="str">
        <x:v>확정 필요</x:v>
      </x:c>
      <x:c r="E11" s="77" t="str"/>
      <x:c r="F11" s="77" t="str"/>
    </x:row>
    <x:row r="12">
      <x:c r="A12" s="72" t="str">
        <x:v>재고</x:v>
      </x:c>
      <x:c r="B12" s="72" t="str">
        <x:v>기종간 대체재고 인정</x:v>
      </x:c>
      <x:c r="C12" s="77" t="str">
        <x:v>Y/N</x:v>
      </x:c>
      <x:c r="D12" s="77" t="str">
        <x:v>확정 필요</x:v>
      </x:c>
      <x:c r="E12" s="77" t="str"/>
      <x:c r="F12" s="77" t="str">
        <x:v>대체 매핑 필요</x:v>
      </x:c>
    </x:row>
    <x:row r="13">
      <x:c r="A13" s="72" t="str">
        <x:v>재고</x:v>
      </x:c>
      <x:c r="B13" s="72" t="str">
        <x:v>Open PO 반영 기준</x:v>
      </x:c>
      <x:c r="C13" s="77" t="str">
        <x:v>필요월도 전 입고예정분</x:v>
      </x:c>
      <x:c r="D13" s="77" t="str">
        <x:v>확정 필요</x:v>
      </x:c>
      <x:c r="E13" s="77" t="str"/>
      <x:c r="F13" s="77" t="str">
        <x:v>분할입고 포함 여부</x:v>
      </x:c>
    </x:row>
    <x:row r="14">
      <x:c r="A14" s="72" t="str">
        <x:v>발주</x:v>
      </x:c>
      <x:c r="B14" s="72" t="str">
        <x:v>안전재고 적용</x:v>
      </x:c>
      <x:c r="C14" s="77" t="str">
        <x:v>Y/N</x:v>
      </x:c>
      <x:c r="D14" s="77" t="str">
        <x:v>확정 필요</x:v>
      </x:c>
      <x:c r="E14" s="77" t="str"/>
      <x:c r="F14" s="77" t="str">
        <x:v>품목별 기준 필요</x:v>
      </x:c>
    </x:row>
    <x:row r="15">
      <x:c r="A15" s="72" t="str">
        <x:v>발주</x:v>
      </x:c>
      <x:c r="B15" s="72" t="str">
        <x:v>이월 미충족수요 반영</x:v>
      </x:c>
      <x:c r="C15" s="78" t="str">
        <x:v>Y/N</x:v>
      </x:c>
      <x:c r="D15" s="77" t="str">
        <x:v>확정 필요</x:v>
      </x:c>
      <x:c r="E15" s="77" t="str"/>
      <x:c r="F15" s="77" t="str"/>
    </x:row>
    <x:row r="16">
      <x:c r="A16" s="72" t="str">
        <x:v>발주</x:v>
      </x:c>
      <x:c r="B16" s="72" t="str">
        <x:v>Bulk Deal 선확보수량 반영</x:v>
      </x:c>
      <x:c r="C16" s="78" t="str">
        <x:v>Y/N</x:v>
      </x:c>
      <x:c r="D16" s="77" t="str">
        <x:v>확정 필요</x:v>
      </x:c>
      <x:c r="E16" s="77" t="str"/>
      <x:c r="F16" s="77" t="str"/>
    </x:row>
    <x:row r="17">
      <x:c r="A17" s="72" t="str">
        <x:v>발주</x:v>
      </x:c>
      <x:c r="B17" s="72" t="str">
        <x:v>MOQ 초과발주 허용</x:v>
      </x:c>
      <x:c r="C17" s="77" t="str">
        <x:v>Y/N</x:v>
      </x:c>
      <x:c r="D17" s="77" t="str">
        <x:v>확정 필요</x:v>
      </x:c>
      <x:c r="E17" s="77" t="str"/>
      <x:c r="F17" s="77" t="str">
        <x:v>초과 시 승인 여부</x:v>
      </x:c>
    </x:row>
    <x:row r="18">
      <x:c r="A18" s="72" t="str">
        <x:v>Flex</x:v>
      </x:c>
      <x:c r="B18" s="72" t="str">
        <x:v>전월 OL 허용범위</x:v>
      </x:c>
      <x:c r="C18" s="77" t="n">
        <x:v>0.2</x:v>
      </x:c>
      <x:c r="D18" s="77" t="str">
        <x:v>확정 필요</x:v>
      </x:c>
      <x:c r="E18" s="77" t="str"/>
      <x:c r="F18" s="77" t="str">
        <x:v>기본 ±20%</x:v>
      </x:c>
    </x:row>
    <x:row r="19">
      <x:c r="A19" s="72" t="str">
        <x:v>Flex</x:v>
      </x:c>
      <x:c r="B19" s="72" t="str">
        <x:v>전전월 OL 허용범위</x:v>
      </x:c>
      <x:c r="C19" s="77" t="n">
        <x:v>0.3</x:v>
      </x:c>
      <x:c r="D19" s="77" t="str">
        <x:v>확정 필요</x:v>
      </x:c>
      <x:c r="E19" s="77" t="str"/>
      <x:c r="F19" s="77" t="str">
        <x:v>기본 ±30%</x:v>
      </x:c>
    </x:row>
    <x:row r="20">
      <x:c r="A20" s="72" t="str">
        <x:v>Flex</x:v>
      </x:c>
      <x:c r="B20" s="72" t="str">
        <x:v>Rule 초과 처리</x:v>
      </x:c>
      <x:c r="C20" s="77" t="str">
        <x:v>경고/차단/승인</x:v>
      </x:c>
      <x:c r="D20" s="77" t="str">
        <x:v>확정 필요</x:v>
      </x:c>
      <x:c r="E20" s="77" t="str"/>
      <x:c r="F20" s="77" t="str"/>
    </x:row>
    <x:row r="21">
      <x:c r="A21" s="72" t="str">
        <x:v>옵션</x:v>
      </x:c>
      <x:c r="B21" s="72" t="str">
        <x:v>장착율 산정 기준</x:v>
      </x:c>
      <x:c r="C21" s="77" t="str">
        <x:v>3M/6M/12M/담당자입력</x:v>
      </x:c>
      <x:c r="D21" s="77" t="str">
        <x:v>확정 필요</x:v>
      </x:c>
      <x:c r="E21" s="77" t="str"/>
      <x:c r="F21" s="77" t="str"/>
    </x:row>
    <x:row r="22">
      <x:c r="A22" s="72" t="str">
        <x:v>옵션</x:v>
      </x:c>
      <x:c r="B22" s="72" t="str">
        <x:v>옵션 수요 기준</x:v>
      </x:c>
      <x:c r="C22" s="77" t="str">
        <x:v>기기 판매/기기 발주</x:v>
      </x:c>
      <x:c r="D22" s="77" t="str">
        <x:v>확정 필요</x:v>
      </x:c>
      <x:c r="E22" s="77" t="str"/>
      <x:c r="F22" s="77" t="str"/>
    </x:row>
    <x:row r="23">
      <x:c r="A23" s="72" t="str">
        <x:v>입고</x:v>
      </x:c>
      <x:c r="B23" s="72" t="str">
        <x:v>입고 수량 허용오차</x:v>
      </x:c>
      <x:c r="C23" s="77" t="str"/>
      <x:c r="D23" s="77" t="str">
        <x:v>확정 필요</x:v>
      </x:c>
      <x:c r="E23" s="77" t="str"/>
      <x:c r="F23" s="77" t="str">
        <x:v>% 또는 수량</x:v>
      </x:c>
    </x:row>
    <x:row r="24">
      <x:c r="A24" s="72" t="str">
        <x:v>지급</x:v>
      </x:c>
      <x:c r="B24" s="72" t="str">
        <x:v>PO Match 방식</x:v>
      </x:c>
      <x:c r="C24" s="77" t="str">
        <x:v>2-way/3-way</x:v>
      </x:c>
      <x:c r="D24" s="77" t="str">
        <x:v>확정 필요</x:v>
      </x:c>
      <x:c r="E24" s="77" t="str"/>
      <x:c r="F24" s="77" t="str">
        <x:v>PO-입고-Invoice</x:v>
      </x:c>
    </x:row>
    <x:row r="25">
      <x:c r="A25" s="72" t="str">
        <x:v>지급</x:v>
      </x:c>
      <x:c r="B25" s="72" t="str">
        <x:v>불일치 시 지급 처리</x:v>
      </x:c>
      <x:c r="C25" s="77" t="str">
        <x:v>보류/부분지급/수동승인</x:v>
      </x:c>
      <x:c r="D25" s="77" t="str">
        <x:v>확정 필요</x:v>
      </x:c>
      <x:c r="E25" s="77" t="str"/>
      <x:c r="F25" s="77" t="str"/>
    </x:row>
  </x:sheetData>
  <x:mergeCells>
    <x:mergeCell ref="A1:F1"/>
  </x:mergeCells>
  <x:dataValidations count="1">
    <x:dataValidation type="list" sqref="D4:D25">
      <x:formula1>"확정 필요,확정,적용 제외"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</x:cols>
  <x:sheetData>
    <x:row r="1" ht="30" customHeight="1">
      <x:c r="A1" s="93" t="str">
        <x:v>권한·승인 매트릭스</x:v>
      </x:c>
      <x:c r="B1" s="62"/>
      <x:c r="C1" s="62"/>
      <x:c r="D1" s="62"/>
      <x:c r="E1" s="62"/>
      <x:c r="F1" s="62"/>
      <x:c r="G1" s="62"/>
      <x:c r="H1" s="62"/>
    </x:row>
    <x:row r="2">
      <x:c r="A2" s="63"/>
      <x:c r="B2" s="63"/>
      <x:c r="C2" s="63"/>
      <x:c r="D2" s="63"/>
      <x:c r="E2" s="63"/>
      <x:c r="F2" s="63"/>
      <x:c r="G2" s="63"/>
      <x:c r="H2" s="63"/>
    </x:row>
    <x:row r="3">
      <x:c r="A3" s="67" t="str">
        <x:v>업무영역</x:v>
      </x:c>
      <x:c r="B3" s="67" t="str">
        <x:v>역할</x:v>
      </x:c>
      <x:c r="C3" s="67" t="str">
        <x:v>조직/부서</x:v>
      </x:c>
      <x:c r="D3" s="67" t="str">
        <x:v>담당자</x:v>
      </x:c>
      <x:c r="E3" s="67" t="str">
        <x:v>금액하한</x:v>
      </x:c>
      <x:c r="F3" s="67" t="str">
        <x:v>금액상한</x:v>
      </x:c>
      <x:c r="G3" s="67" t="str">
        <x:v>승인필요</x:v>
      </x:c>
      <x:c r="H3" s="67" t="str">
        <x:v>비고</x:v>
      </x:c>
    </x:row>
    <x:row r="4">
      <x:c r="A4" s="72" t="str">
        <x:v>OL</x:v>
      </x:c>
      <x:c r="B4" s="72" t="str">
        <x:v>영업 OL 입력</x:v>
      </x:c>
      <x:c r="C4" s="72" t="str">
        <x:v>영업부서</x:v>
      </x:c>
      <x:c r="D4" s="72" t="str"/>
      <x:c r="E4" s="73"/>
      <x:c r="F4" s="73"/>
      <x:c r="G4" s="72" t="str">
        <x:v>N</x:v>
      </x:c>
      <x:c r="H4" s="72" t="str"/>
    </x:row>
    <x:row r="5">
      <x:c r="A5" s="72" t="str">
        <x:v>수요</x:v>
      </x:c>
      <x:c r="B5" s="72" t="str">
        <x:v>수급회의 수요확정</x:v>
      </x:c>
      <x:c r="C5" s="72" t="str">
        <x:v>SCM/영업</x:v>
      </x:c>
      <x:c r="D5" s="72" t="str"/>
      <x:c r="E5" s="73"/>
      <x:c r="F5" s="73"/>
      <x:c r="G5" s="72" t="str">
        <x:v>Y</x:v>
      </x:c>
      <x:c r="H5" s="72" t="str"/>
    </x:row>
    <x:row r="6">
      <x:c r="A6" s="72" t="str">
        <x:v>발주</x:v>
      </x:c>
      <x:c r="B6" s="72" t="str">
        <x:v>발주량 산출·검토</x:v>
      </x:c>
      <x:c r="C6" s="72" t="str">
        <x:v>물류/SCM</x:v>
      </x:c>
      <x:c r="D6" s="72" t="str"/>
      <x:c r="E6" s="73"/>
      <x:c r="F6" s="73"/>
      <x:c r="G6" s="72" t="str">
        <x:v>N</x:v>
      </x:c>
      <x:c r="H6" s="72" t="str"/>
    </x:row>
    <x:row r="7">
      <x:c r="A7" s="72" t="str">
        <x:v>보고</x:v>
      </x:c>
      <x:c r="B7" s="72" t="str">
        <x:v>사장 보고자료 작성</x:v>
      </x:c>
      <x:c r="C7" s="72" t="str">
        <x:v>SCM</x:v>
      </x:c>
      <x:c r="D7" s="72" t="str"/>
      <x:c r="E7" s="73"/>
      <x:c r="F7" s="73"/>
      <x:c r="G7" s="72" t="str">
        <x:v>Y</x:v>
      </x:c>
      <x:c r="H7" s="72" t="str"/>
    </x:row>
    <x:row r="8">
      <x:c r="A8" s="72" t="str">
        <x:v>승인</x:v>
      </x:c>
      <x:c r="B8" s="72" t="str">
        <x:v>일반 발주 승인</x:v>
      </x:c>
      <x:c r="C8" s="72" t="str">
        <x:v>임원/사장</x:v>
      </x:c>
      <x:c r="D8" s="72" t="str"/>
      <x:c r="E8" s="73" t="n">
        <x:v>0</x:v>
      </x:c>
      <x:c r="F8" s="73" t="n">
        <x:v>100000000</x:v>
      </x:c>
      <x:c r="G8" s="72" t="str">
        <x:v>Y</x:v>
      </x:c>
      <x:c r="H8" s="72" t="str">
        <x:v>실제 금액기준 입력</x:v>
      </x:c>
    </x:row>
    <x:row r="9">
      <x:c r="A9" s="72" t="str">
        <x:v>승인</x:v>
      </x:c>
      <x:c r="B9" s="72" t="str">
        <x:v>고액 발주 승인</x:v>
      </x:c>
      <x:c r="C9" s="72" t="str">
        <x:v>사장</x:v>
      </x:c>
      <x:c r="D9" s="72" t="str"/>
      <x:c r="E9" s="73" t="n">
        <x:v>100000000</x:v>
      </x:c>
      <x:c r="F9" s="73"/>
      <x:c r="G9" s="72" t="str">
        <x:v>Y</x:v>
      </x:c>
      <x:c r="H9" s="72" t="str">
        <x:v>실제 금액기준 입력</x:v>
      </x:c>
    </x:row>
    <x:row r="10">
      <x:c r="A10" s="72" t="str">
        <x:v>예외</x:v>
      </x:c>
      <x:c r="B10" s="72" t="str">
        <x:v>Flex Rule 초과 승인</x:v>
      </x:c>
      <x:c r="C10" s="72" t="str">
        <x:v>구매/임원</x:v>
      </x:c>
      <x:c r="D10" s="72" t="str"/>
      <x:c r="E10" s="73"/>
      <x:c r="F10" s="73"/>
      <x:c r="G10" s="72" t="str">
        <x:v>Y</x:v>
      </x:c>
      <x:c r="H10" s="72" t="str"/>
    </x:row>
    <x:row r="11">
      <x:c r="A11" s="72" t="str">
        <x:v>발주</x:v>
      </x:c>
      <x:c r="B11" s="72" t="str">
        <x:v>FX-LIVE 입력/FIX</x:v>
      </x:c>
      <x:c r="C11" s="72" t="str">
        <x:v>구매</x:v>
      </x:c>
      <x:c r="D11" s="72" t="str"/>
      <x:c r="E11" s="73"/>
      <x:c r="F11" s="73"/>
      <x:c r="G11" s="72" t="str">
        <x:v>Y</x:v>
      </x:c>
      <x:c r="H11" s="72" t="str"/>
    </x:row>
    <x:row r="12">
      <x:c r="A12" s="72" t="str">
        <x:v>입고</x:v>
      </x:c>
      <x:c r="B12" s="72" t="str">
        <x:v>PO Match/지급처리</x:v>
      </x:c>
      <x:c r="C12" s="72" t="str">
        <x:v>회계/구매</x:v>
      </x:c>
      <x:c r="D12" s="72" t="str"/>
      <x:c r="E12" s="73"/>
      <x:c r="F12" s="73"/>
      <x:c r="G12" s="72" t="str">
        <x:v>Y</x:v>
      </x:c>
      <x:c r="H12" s="72" t="str"/>
    </x:row>
  </x:sheetData>
  <x:mergeCells>
    <x:mergeCell ref="A1:H1"/>
  </x:mergeCells>
  <x:dataValidations count="1">
    <x:dataValidation type="list" sqref="G4:G12">
      <x:formula1>"Y,N"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2" hidden="0" customWidth="1"/>
    <x:col min="6" max="6" width="14" hidden="0" customWidth="1"/>
    <x:col min="7" max="7" width="18" hidden="0" customWidth="1"/>
    <x:col min="8" max="8" width="24" hidden="0" customWidth="1"/>
    <x:col min="9" max="9" width="16" hidden="0" customWidth="1"/>
    <x:col min="10" max="10" width="24" hidden="0" customWidth="1"/>
  </x:cols>
  <x:sheetData>
    <x:row r="1" ht="30" customHeight="1">
      <x:c r="A1" s="93" t="str">
        <x:v>FX-LIVE 연계 정의: 입력필드·검증·오류처리</x:v>
      </x:c>
      <x:c r="B1" s="62"/>
      <x:c r="C1" s="62"/>
      <x:c r="D1" s="62"/>
      <x:c r="E1" s="62"/>
      <x:c r="F1" s="62"/>
      <x:c r="G1" s="62"/>
      <x:c r="H1" s="62"/>
      <x:c r="I1" s="62"/>
      <x:c r="J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</x:row>
    <x:row r="3">
      <x:c r="A3" s="67" t="str">
        <x:v>FX-LIVE 필드명</x:v>
      </x:c>
      <x:c r="B3" s="67" t="str">
        <x:v>업무 의미</x:v>
      </x:c>
      <x:c r="C3" s="67" t="str">
        <x:v>원천 시트</x:v>
      </x:c>
      <x:c r="D3" s="67" t="str">
        <x:v>원천 컬럼</x:v>
      </x:c>
      <x:c r="E3" s="67" t="str">
        <x:v>필수 여부</x:v>
      </x:c>
      <x:c r="F3" s="67" t="str">
        <x:v>데이터형식</x:v>
      </x:c>
      <x:c r="G3" s="67" t="str">
        <x:v>예시값</x:v>
      </x:c>
      <x:c r="H3" s="67" t="str">
        <x:v>검증규칙</x:v>
      </x:c>
      <x:c r="I3" s="67" t="str">
        <x:v>연계방식</x:v>
      </x:c>
      <x:c r="J3" s="67" t="str">
        <x:v>오류처리</x:v>
      </x:c>
    </x:row>
    <x:row r="4">
      <x:c r="A4" s="77" t="str">
        <x:v>PO번호</x:v>
      </x:c>
      <x:c r="B4" s="77" t="str">
        <x:v>발주 식별번호</x:v>
      </x:c>
      <x:c r="C4" s="77" t="str">
        <x:v>Report_Approval/Inbound_PO</x:v>
      </x:c>
      <x:c r="D4" s="77" t="str">
        <x:v>승인번호/PO번호</x:v>
      </x:c>
      <x:c r="E4" s="77" t="str">
        <x:v>Y</x:v>
      </x:c>
      <x:c r="F4" s="77" t="str">
        <x:v>Text</x:v>
      </x:c>
      <x:c r="G4" s="77" t="str">
        <x:v>PO-202608-001</x:v>
      </x:c>
      <x:c r="H4" s="77" t="str">
        <x:v>중복불가</x:v>
      </x:c>
      <x:c r="I4" s="77" t="str">
        <x:v>API/업로드/수동</x:v>
      </x:c>
      <x:c r="J4" s="77" t="str"/>
    </x:row>
    <x:row r="5">
      <x:c r="A5" s="77" t="str">
        <x:v>Supplier코드</x:v>
      </x:c>
      <x:c r="B5" s="77" t="str">
        <x:v>Supplier 식별자</x:v>
      </x:c>
      <x:c r="C5" s="77" t="str">
        <x:v>Master_Supplier</x:v>
      </x:c>
      <x:c r="D5" s="77" t="str">
        <x:v>Supplier코드</x:v>
      </x:c>
      <x:c r="E5" s="77" t="str">
        <x:v>Y</x:v>
      </x:c>
      <x:c r="F5" s="77" t="str">
        <x:v>Text</x:v>
      </x:c>
      <x:c r="G5" s="77" t="str">
        <x:v>SUP-A</x:v>
      </x:c>
      <x:c r="H5" s="77" t="str">
        <x:v>기준정보 존재</x:v>
      </x:c>
      <x:c r="I5" s="77" t="str"/>
      <x:c r="J5" s="77" t="str"/>
    </x:row>
    <x:row r="6">
      <x:c r="A6" s="77" t="str">
        <x:v>품목코드</x:v>
      </x:c>
      <x:c r="B6" s="77" t="str">
        <x:v>기기/옵션/부품 코드</x:v>
      </x:c>
      <x:c r="C6" s="77" t="str">
        <x:v>Calc_Device/Calc_Option</x:v>
      </x:c>
      <x:c r="D6" s="77" t="str">
        <x:v>기종코드/품목코드</x:v>
      </x:c>
      <x:c r="E6" s="77" t="str">
        <x:v>Y</x:v>
      </x:c>
      <x:c r="F6" s="77" t="str">
        <x:v>Text</x:v>
      </x:c>
      <x:c r="G6" s="77" t="str">
        <x:v>PRT-A3-001</x:v>
      </x:c>
      <x:c r="H6" s="77" t="str">
        <x:v>기준정보 존재</x:v>
      </x:c>
      <x:c r="I6" s="77" t="str"/>
      <x:c r="J6" s="77" t="str"/>
    </x:row>
    <x:row r="7">
      <x:c r="A7" s="77" t="str">
        <x:v>발주수량</x:v>
      </x:c>
      <x:c r="B7" s="77" t="str">
        <x:v>최종 FIX 수량</x:v>
      </x:c>
      <x:c r="C7" s="77" t="str">
        <x:v>Calc_Device/Calc_Option</x:v>
      </x:c>
      <x:c r="D7" s="77" t="str">
        <x:v>최종 제안량/MOQ 적용 발주량</x:v>
      </x:c>
      <x:c r="E7" s="77" t="str">
        <x:v>Y</x:v>
      </x:c>
      <x:c r="F7" s="77" t="str">
        <x:v>Number</x:v>
      </x:c>
      <x:c r="G7" s="79" t="n">
        <x:v>30</x:v>
      </x:c>
      <x:c r="H7" s="77" t="str">
        <x:v>&gt;=0</x:v>
      </x:c>
      <x:c r="I7" s="77" t="str"/>
      <x:c r="J7" s="77" t="str"/>
    </x:row>
    <x:row r="8">
      <x:c r="A8" s="77" t="str">
        <x:v>필요월도</x:v>
      </x:c>
      <x:c r="B8" s="77" t="str">
        <x:v>고객 출고 예측월도</x:v>
      </x:c>
      <x:c r="C8" s="77" t="str">
        <x:v>Calc_Device/Calc_Option</x:v>
      </x:c>
      <x:c r="D8" s="77" t="str">
        <x:v>필요월도</x:v>
      </x:c>
      <x:c r="E8" s="77" t="str">
        <x:v>Y</x:v>
      </x:c>
      <x:c r="F8" s="77" t="str">
        <x:v>Date</x:v>
      </x:c>
      <x:c r="G8" s="80" t="n">
        <x:v>46266</x:v>
      </x:c>
      <x:c r="H8" s="77" t="str">
        <x:v>월 첫날</x:v>
      </x:c>
      <x:c r="I8" s="77" t="str"/>
      <x:c r="J8" s="77" t="str"/>
    </x:row>
    <x:row r="9">
      <x:c r="A9" s="77" t="str">
        <x:v>단가</x:v>
      </x:c>
      <x:c r="B9" s="77" t="str">
        <x:v>구매단가</x:v>
      </x:c>
      <x:c r="C9" s="77" t="str">
        <x:v>Master_Rules</x:v>
      </x:c>
      <x:c r="D9" s="77" t="str">
        <x:v>단가</x:v>
      </x:c>
      <x:c r="E9" s="77" t="str">
        <x:v>Y</x:v>
      </x:c>
      <x:c r="F9" s="77" t="str">
        <x:v>Number</x:v>
      </x:c>
      <x:c r="G9" s="79" t="n">
        <x:v>1000000</x:v>
      </x:c>
      <x:c r="H9" s="77" t="str">
        <x:v>&gt;=0</x:v>
      </x:c>
      <x:c r="I9" s="77" t="str"/>
      <x:c r="J9" s="77" t="str"/>
    </x:row>
    <x:row r="10">
      <x:c r="A10" s="77" t="str">
        <x:v>통화</x:v>
      </x:c>
      <x:c r="B10" s="77" t="str">
        <x:v>금액 통화</x:v>
      </x:c>
      <x:c r="C10" s="77" t="str">
        <x:v>Master_Rules</x:v>
      </x:c>
      <x:c r="D10" s="77" t="str">
        <x:v>통화</x:v>
      </x:c>
      <x:c r="E10" s="77" t="str">
        <x:v>Y</x:v>
      </x:c>
      <x:c r="F10" s="77" t="str">
        <x:v>Text</x:v>
      </x:c>
      <x:c r="G10" s="77" t="str">
        <x:v>KRW</x:v>
      </x:c>
      <x:c r="H10" s="77" t="str">
        <x:v>코드유효</x:v>
      </x:c>
      <x:c r="I10" s="77" t="str"/>
      <x:c r="J10" s="77" t="str"/>
    </x:row>
    <x:row r="11">
      <x:c r="A11" s="77" t="str">
        <x:v>납기요청일</x:v>
      </x:c>
      <x:c r="B11" s="77" t="str">
        <x:v>Supplier 요청 납기</x:v>
      </x:c>
      <x:c r="C11" s="77" t="str">
        <x:v>Calc_Device/Calc_Option</x:v>
      </x:c>
      <x:c r="D11" s="77" t="str">
        <x:v>입고 필요일</x:v>
      </x:c>
      <x:c r="E11" s="77" t="str">
        <x:v>Y</x:v>
      </x:c>
      <x:c r="F11" s="77" t="str">
        <x:v>Date</x:v>
      </x:c>
      <x:c r="G11" s="80" t="n">
        <x:v>46290</x:v>
      </x:c>
      <x:c r="H11" s="77" t="str">
        <x:v>Lead Time 검증</x:v>
      </x:c>
      <x:c r="I11" s="77" t="str"/>
      <x:c r="J11" s="77" t="str"/>
    </x:row>
    <x:row r="12">
      <x:c r="A12" s="77" t="str">
        <x:v>발주금액</x:v>
      </x:c>
      <x:c r="B12" s="77" t="str">
        <x:v>발주수량×단가</x:v>
      </x:c>
      <x:c r="C12" s="77" t="str">
        <x:v>Calc_Device/Calc_Option</x:v>
      </x:c>
      <x:c r="D12" s="77" t="str">
        <x:v>발주금액</x:v>
      </x:c>
      <x:c r="E12" s="77" t="str">
        <x:v>Y</x:v>
      </x:c>
      <x:c r="F12" s="77" t="str">
        <x:v>Number</x:v>
      </x:c>
      <x:c r="G12" s="79" t="n">
        <x:v>30000000</x:v>
      </x:c>
      <x:c r="H12" s="77" t="str">
        <x:v>합계검증</x:v>
      </x:c>
      <x:c r="I12" s="77" t="str"/>
      <x:c r="J12" s="77" t="str"/>
    </x:row>
    <x:row r="13">
      <x:c r="A13" s="77" t="str">
        <x:v>승인번호</x:v>
      </x:c>
      <x:c r="B13" s="77" t="str">
        <x:v>사장 승인 식별자</x:v>
      </x:c>
      <x:c r="C13" s="77" t="str">
        <x:v>Report_Approval</x:v>
      </x:c>
      <x:c r="D13" s="77" t="str">
        <x:v>승인자/승인일</x:v>
      </x:c>
      <x:c r="E13" s="77" t="str">
        <x:v>Y</x:v>
      </x:c>
      <x:c r="F13" s="77" t="str">
        <x:v>Text</x:v>
      </x:c>
      <x:c r="G13" s="77" t="str">
        <x:v>APR-001</x:v>
      </x:c>
      <x:c r="H13" s="77" t="str">
        <x:v>승인완료</x:v>
      </x:c>
      <x:c r="I13" s="77" t="str"/>
      <x:c r="J13" s="77" t="str"/>
    </x:row>
    <x:row r="14">
      <x:c r="A14" s="77" t="str">
        <x:v>변경사유</x:v>
      </x:c>
      <x:c r="B14" s="77" t="str">
        <x:v>수량 조정 사유</x:v>
      </x:c>
      <x:c r="C14" s="77" t="str">
        <x:v>Report_Approval</x:v>
      </x:c>
      <x:c r="D14" s="77" t="str">
        <x:v>조정사유</x:v>
      </x:c>
      <x:c r="E14" s="77" t="str">
        <x:v>조건부</x:v>
      </x:c>
      <x:c r="F14" s="77" t="str">
        <x:v>Text</x:v>
      </x:c>
      <x:c r="G14" s="77" t="str">
        <x:v>Bulk Deal 반영</x:v>
      </x:c>
      <x:c r="H14" s="77" t="str">
        <x:v>Rule 초과 시 필수</x:v>
      </x:c>
      <x:c r="I14" s="77" t="str"/>
      <x:c r="J14" s="77" t="str"/>
    </x:row>
  </x:sheetData>
  <x:mergeCells>
    <x:mergeCell ref="A1: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8" hidden="0" customWidth="1"/>
    <x:col min="4" max="4" width="14" hidden="0" customWidth="1"/>
    <x:col min="5" max="5" width="20" hidden="0" customWidth="1"/>
    <x:col min="6" max="6" width="16" hidden="0" customWidth="1"/>
    <x:col min="7" max="7" width="14" hidden="0" customWidth="1"/>
    <x:col min="8" max="8" width="14" hidden="0" customWidth="1"/>
    <x:col min="9" max="9" width="12" hidden="0" customWidth="1"/>
    <x:col min="10" max="10" width="24" hidden="0" customWidth="1"/>
  </x:cols>
  <x:sheetData>
    <x:row r="1" ht="30" customHeight="1">
      <x:c r="A1" s="93" t="str">
        <x:v>구현 전 확인사항: 자료·정책·인터페이스 확보현황</x:v>
      </x:c>
      <x:c r="B1" s="62"/>
      <x:c r="C1" s="62"/>
      <x:c r="D1" s="62"/>
      <x:c r="E1" s="62"/>
      <x:c r="F1" s="62"/>
      <x:c r="G1" s="62"/>
      <x:c r="H1" s="62"/>
      <x:c r="I1" s="62"/>
      <x:c r="J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</x:row>
    <x:row r="3">
      <x:c r="A3" s="67" t="str">
        <x:v>구분</x:v>
      </x:c>
      <x:c r="B3" s="67" t="str">
        <x:v>확인항목</x:v>
      </x:c>
      <x:c r="C3" s="67" t="str">
        <x:v>필요자료/결정내용</x:v>
      </x:c>
      <x:c r="D3" s="67" t="str">
        <x:v>현재상태</x:v>
      </x:c>
      <x:c r="E3" s="67" t="str">
        <x:v>자료명/시스템</x:v>
      </x:c>
      <x:c r="F3" s="67" t="str">
        <x:v>담당부서</x:v>
      </x:c>
      <x:c r="G3" s="67" t="str">
        <x:v>담당자</x:v>
      </x:c>
      <x:c r="H3" s="67" t="str">
        <x:v>확보일/확정일</x:v>
      </x:c>
      <x:c r="I3" s="67" t="str">
        <x:v>우선순위</x:v>
      </x:c>
      <x:c r="J3" s="67" t="str">
        <x:v>비고</x:v>
      </x:c>
    </x:row>
    <x:row r="4">
      <x:c r="A4" s="77" t="str">
        <x:v>범위</x:v>
      </x:c>
      <x:c r="B4" s="77" t="str">
        <x:v>발주대상 품목</x:v>
      </x:c>
      <x:c r="C4" s="77" t="str">
        <x:v>기기·옵션·부품·소모품 및 적용 법인/창고</x:v>
      </x:c>
      <x:c r="D4" s="77" t="str">
        <x:v>미확인</x:v>
      </x:c>
      <x:c r="E4" s="77" t="str"/>
      <x:c r="F4" s="77" t="str"/>
      <x:c r="G4" s="77" t="str"/>
      <x:c r="H4" s="80"/>
      <x:c r="I4" s="77" t="str">
        <x:v>High</x:v>
      </x:c>
      <x:c r="J4" s="77" t="str"/>
    </x:row>
    <x:row r="5">
      <x:c r="A5" s="77" t="str">
        <x:v>수요</x:v>
      </x:c>
      <x:c r="B5" s="77" t="str">
        <x:v>실제 OL 샘플</x:v>
      </x:c>
      <x:c r="C5" s="77" t="str">
        <x:v>최근 2~3개월 OL 원본</x:v>
      </x:c>
      <x:c r="D5" s="77" t="str">
        <x:v>미확보</x:v>
      </x:c>
      <x:c r="E5" s="77" t="str"/>
      <x:c r="F5" s="77" t="str">
        <x:v>영업</x:v>
      </x:c>
      <x:c r="G5" s="77" t="str"/>
      <x:c r="H5" s="80"/>
      <x:c r="I5" s="77" t="str">
        <x:v>High</x:v>
      </x:c>
      <x:c r="J5" s="77" t="str"/>
    </x:row>
    <x:row r="6">
      <x:c r="A6" s="77" t="str">
        <x:v>수요</x:v>
      </x:c>
      <x:c r="B6" s="77" t="str">
        <x:v>SFDC/Bulk Deal 샘플</x:v>
      </x:c>
      <x:c r="C6" s="77" t="str">
        <x:v>Pipeline 및 Bulk Deal 원본</x:v>
      </x:c>
      <x:c r="D6" s="77" t="str">
        <x:v>미확보</x:v>
      </x:c>
      <x:c r="E6" s="77" t="str"/>
      <x:c r="F6" s="77" t="str">
        <x:v>영업</x:v>
      </x:c>
      <x:c r="G6" s="77" t="str"/>
      <x:c r="H6" s="80"/>
      <x:c r="I6" s="77" t="str">
        <x:v>High</x:v>
      </x:c>
      <x:c r="J6" s="77" t="str"/>
    </x:row>
    <x:row r="7">
      <x:c r="A7" s="77" t="str">
        <x:v>수요</x:v>
      </x:c>
      <x:c r="B7" s="77" t="str">
        <x:v>수급회의 자료</x:v>
      </x:c>
      <x:c r="C7" s="77" t="str">
        <x:v>최근 회의자료·의사결정 기록</x:v>
      </x:c>
      <x:c r="D7" s="77" t="str">
        <x:v>미확보</x:v>
      </x:c>
      <x:c r="E7" s="77" t="str"/>
      <x:c r="F7" s="77" t="str">
        <x:v>SCM</x:v>
      </x:c>
      <x:c r="G7" s="77" t="str"/>
      <x:c r="H7" s="80"/>
      <x:c r="I7" s="77" t="str">
        <x:v>High</x:v>
      </x:c>
      <x:c r="J7" s="77" t="str"/>
    </x:row>
    <x:row r="8">
      <x:c r="A8" s="77" t="str">
        <x:v>실적</x:v>
      </x:c>
      <x:c r="B8" s="77" t="str">
        <x:v>과거 실적 Trend</x:v>
      </x:c>
      <x:c r="C8" s="77" t="str">
        <x:v>월별 기종·품목 실적 3/6/12개월</x:v>
      </x:c>
      <x:c r="D8" s="77" t="str">
        <x:v>미확보</x:v>
      </x:c>
      <x:c r="E8" s="77" t="str"/>
      <x:c r="F8" s="77" t="str">
        <x:v>SCM/영업</x:v>
      </x:c>
      <x:c r="G8" s="77" t="str"/>
      <x:c r="H8" s="80"/>
      <x:c r="I8" s="77" t="str">
        <x:v>Medium</x:v>
      </x:c>
      <x:c r="J8" s="77" t="str"/>
    </x:row>
    <x:row r="9">
      <x:c r="A9" s="77" t="str">
        <x:v>재고</x:v>
      </x:c>
      <x:c r="B9" s="77" t="str">
        <x:v>전월 말 재고</x:v>
      </x:c>
      <x:c r="C9" s="77" t="str">
        <x:v>재고상태별 수량 및 창고</x:v>
      </x:c>
      <x:c r="D9" s="77" t="str">
        <x:v>미확보</x:v>
      </x:c>
      <x:c r="E9" s="77" t="str"/>
      <x:c r="F9" s="77" t="str">
        <x:v>물류</x:v>
      </x:c>
      <x:c r="G9" s="77" t="str"/>
      <x:c r="H9" s="80"/>
      <x:c r="I9" s="77" t="str">
        <x:v>High</x:v>
      </x:c>
      <x:c r="J9" s="77" t="str"/>
    </x:row>
    <x:row r="10">
      <x:c r="A10" s="77" t="str">
        <x:v>재고</x:v>
      </x:c>
      <x:c r="B10" s="77" t="str">
        <x:v>Open PO</x:v>
      </x:c>
      <x:c r="C10" s="77" t="str">
        <x:v>PO·잔량·예정입고일·분할입고</x:v>
      </x:c>
      <x:c r="D10" s="77" t="str">
        <x:v>미확보</x:v>
      </x:c>
      <x:c r="E10" s="77" t="str"/>
      <x:c r="F10" s="77" t="str">
        <x:v>구매</x:v>
      </x:c>
      <x:c r="G10" s="77" t="str"/>
      <x:c r="H10" s="80"/>
      <x:c r="I10" s="77" t="str">
        <x:v>High</x:v>
      </x:c>
      <x:c r="J10" s="77" t="str"/>
    </x:row>
    <x:row r="11">
      <x:c r="A11" s="77" t="str">
        <x:v>기준</x:v>
      </x:c>
      <x:c r="B11" s="77" t="str">
        <x:v>BOM 원본</x:v>
      </x:c>
      <x:c r="C11" s="77" t="str">
        <x:v>기종-자재 관계 및 버전</x:v>
      </x:c>
      <x:c r="D11" s="77" t="str">
        <x:v>미확보</x:v>
      </x:c>
      <x:c r="E11" s="77" t="str"/>
      <x:c r="F11" s="77" t="str">
        <x:v>기술/구매</x:v>
      </x:c>
      <x:c r="G11" s="77" t="str"/>
      <x:c r="H11" s="80"/>
      <x:c r="I11" s="77" t="str">
        <x:v>High</x:v>
      </x:c>
      <x:c r="J11" s="77" t="str"/>
    </x:row>
    <x:row r="12">
      <x:c r="A12" s="77" t="str">
        <x:v>기준</x:v>
      </x:c>
      <x:c r="B12" s="77" t="str">
        <x:v>장착율 원본</x:v>
      </x:c>
      <x:c r="C12" s="77" t="str">
        <x:v>기종·지역·고객별 장착율</x:v>
      </x:c>
      <x:c r="D12" s="77" t="str">
        <x:v>미확보</x:v>
      </x:c>
      <x:c r="E12" s="77" t="str"/>
      <x:c r="F12" s="77" t="str">
        <x:v>영업/SCM</x:v>
      </x:c>
      <x:c r="G12" s="77" t="str"/>
      <x:c r="H12" s="80"/>
      <x:c r="I12" s="77" t="str">
        <x:v>High</x:v>
      </x:c>
      <x:c r="J12" s="77" t="str"/>
    </x:row>
    <x:row r="13">
      <x:c r="A13" s="77" t="str">
        <x:v>기준</x:v>
      </x:c>
      <x:c r="B13" s="77" t="str">
        <x:v>Supplier MOQ/LT</x:v>
      </x:c>
      <x:c r="C13" s="77" t="str">
        <x:v>Supplier별 계약·구매조건</x:v>
      </x:c>
      <x:c r="D13" s="77" t="str">
        <x:v>미확보</x:v>
      </x:c>
      <x:c r="E13" s="77" t="str"/>
      <x:c r="F13" s="77" t="str">
        <x:v>구매</x:v>
      </x:c>
      <x:c r="G13" s="77" t="str"/>
      <x:c r="H13" s="80"/>
      <x:c r="I13" s="77" t="str">
        <x:v>High</x:v>
      </x:c>
      <x:c r="J13" s="77" t="str"/>
    </x:row>
    <x:row r="14">
      <x:c r="A14" s="77" t="str">
        <x:v>기준</x:v>
      </x:c>
      <x:c r="B14" s="77" t="str">
        <x:v>단가·환율</x:v>
      </x:c>
      <x:c r="C14" s="77" t="str">
        <x:v>단가 유효기간·통화·환율 기준일</x:v>
      </x:c>
      <x:c r="D14" s="77" t="str">
        <x:v>미확보</x:v>
      </x:c>
      <x:c r="E14" s="77" t="str"/>
      <x:c r="F14" s="77" t="str">
        <x:v>구매/재무</x:v>
      </x:c>
      <x:c r="G14" s="77" t="str"/>
      <x:c r="H14" s="80"/>
      <x:c r="I14" s="77" t="str">
        <x:v>High</x:v>
      </x:c>
      <x:c r="J14" s="77" t="str"/>
    </x:row>
    <x:row r="15">
      <x:c r="A15" s="77" t="str">
        <x:v>보고</x:v>
      </x:c>
      <x:c r="B15" s="77" t="str">
        <x:v>사장 보고자료</x:v>
      </x:c>
      <x:c r="C15" s="77" t="str">
        <x:v>실제 보고서 양식 및 비교기준</x:v>
      </x:c>
      <x:c r="D15" s="77" t="str">
        <x:v>미확보</x:v>
      </x:c>
      <x:c r="E15" s="77" t="str"/>
      <x:c r="F15" s="77" t="str">
        <x:v>SCM</x:v>
      </x:c>
      <x:c r="G15" s="77" t="str"/>
      <x:c r="H15" s="80"/>
      <x:c r="I15" s="77" t="str">
        <x:v>High</x:v>
      </x:c>
      <x:c r="J15" s="77" t="str"/>
    </x:row>
    <x:row r="16">
      <x:c r="A16" s="77" t="str">
        <x:v>승인</x:v>
      </x:c>
      <x:c r="B16" s="77" t="str">
        <x:v>결재선</x:v>
      </x:c>
      <x:c r="C16" s="77" t="str">
        <x:v>금액별 승인자 및 예외 승인자</x:v>
      </x:c>
      <x:c r="D16" s="77" t="str">
        <x:v>미확인</x:v>
      </x:c>
      <x:c r="E16" s="77" t="str"/>
      <x:c r="F16" s="77" t="str">
        <x:v>관리/SCM</x:v>
      </x:c>
      <x:c r="G16" s="77" t="str"/>
      <x:c r="H16" s="80"/>
      <x:c r="I16" s="77" t="str">
        <x:v>High</x:v>
      </x:c>
      <x:c r="J16" s="77" t="str"/>
    </x:row>
    <x:row r="17">
      <x:c r="A17" s="77" t="str">
        <x:v>연계</x:v>
      </x:c>
      <x:c r="B17" s="77" t="str">
        <x:v>FX-LIVE 입력양식</x:v>
      </x:c>
      <x:c r="C17" s="77" t="str">
        <x:v>필수필드·업로드/API·오류처리</x:v>
      </x:c>
      <x:c r="D17" s="77" t="str">
        <x:v>미확보</x:v>
      </x:c>
      <x:c r="E17" s="77" t="str"/>
      <x:c r="F17" s="77" t="str">
        <x:v>구매/IT</x:v>
      </x:c>
      <x:c r="G17" s="77" t="str"/>
      <x:c r="H17" s="80"/>
      <x:c r="I17" s="77" t="str">
        <x:v>High</x:v>
      </x:c>
      <x:c r="J17" s="77" t="str"/>
    </x:row>
    <x:row r="18">
      <x:c r="A18" s="77" t="str">
        <x:v>연계</x:v>
      </x:c>
      <x:c r="B18" s="77" t="str">
        <x:v>ERP/WMS 재고연계</x:v>
      </x:c>
      <x:c r="C18" s="77" t="str">
        <x:v>재고·입고·Open PO 인터페이스</x:v>
      </x:c>
      <x:c r="D18" s="77" t="str">
        <x:v>미확인</x:v>
      </x:c>
      <x:c r="E18" s="77" t="str"/>
      <x:c r="F18" s="77" t="str">
        <x:v>IT/물류</x:v>
      </x:c>
      <x:c r="G18" s="77" t="str"/>
      <x:c r="H18" s="80"/>
      <x:c r="I18" s="77" t="str">
        <x:v>High</x:v>
      </x:c>
      <x:c r="J18" s="77" t="str"/>
    </x:row>
    <x:row r="19">
      <x:c r="A19" s="77" t="str">
        <x:v>물류</x:v>
      </x:c>
      <x:c r="B19" s="77" t="str">
        <x:v>선적·통관 관리자료</x:v>
      </x:c>
      <x:c r="C19" s="77" t="str">
        <x:v>B/L·AWB·Invoice·통관서류</x:v>
      </x:c>
      <x:c r="D19" s="77" t="str">
        <x:v>미확보</x:v>
      </x:c>
      <x:c r="E19" s="77" t="str"/>
      <x:c r="F19" s="77" t="str">
        <x:v>물류/통관</x:v>
      </x:c>
      <x:c r="G19" s="77" t="str"/>
      <x:c r="H19" s="80"/>
      <x:c r="I19" s="77" t="str">
        <x:v>Medium</x:v>
      </x:c>
      <x:c r="J19" s="77" t="str"/>
    </x:row>
    <x:row r="20">
      <x:c r="A20" s="77" t="str">
        <x:v>입고</x:v>
      </x:c>
      <x:c r="B20" s="77" t="str">
        <x:v>검수 기준</x:v>
      </x:c>
      <x:c r="C20" s="77" t="str">
        <x:v>수량·상태·파손·Serial/Lot 기준</x:v>
      </x:c>
      <x:c r="D20" s="77" t="str">
        <x:v>미확인</x:v>
      </x:c>
      <x:c r="E20" s="77" t="str"/>
      <x:c r="F20" s="77" t="str">
        <x:v>물류/품질</x:v>
      </x:c>
      <x:c r="G20" s="77" t="str"/>
      <x:c r="H20" s="80"/>
      <x:c r="I20" s="77" t="str">
        <x:v>Medium</x:v>
      </x:c>
      <x:c r="J20" s="77" t="str"/>
    </x:row>
    <x:row r="21">
      <x:c r="A21" s="77" t="str">
        <x:v>지급</x:v>
      </x:c>
      <x:c r="B21" s="77" t="str">
        <x:v>PO Match 기준</x:v>
      </x:c>
      <x:c r="C21" s="77" t="str">
        <x:v>2-way/3-way·허용오차·보류기준</x:v>
      </x:c>
      <x:c r="D21" s="77" t="str">
        <x:v>미확인</x:v>
      </x:c>
      <x:c r="E21" s="77" t="str"/>
      <x:c r="F21" s="77" t="str">
        <x:v>재무/구매</x:v>
      </x:c>
      <x:c r="G21" s="77" t="str"/>
      <x:c r="H21" s="80"/>
      <x:c r="I21" s="77" t="str">
        <x:v>High</x:v>
      </x:c>
      <x:c r="J21" s="77" t="str"/>
    </x:row>
    <x:row r="22">
      <x:c r="A22" s="77" t="str">
        <x:v>보안</x:v>
      </x:c>
      <x:c r="B22" s="77" t="str">
        <x:v>권한·감사로그</x:v>
      </x:c>
      <x:c r="C22" s="77" t="str">
        <x:v>입력·수정·승인·FIX 이력</x:v>
      </x:c>
      <x:c r="D22" s="77" t="str">
        <x:v>미확인</x:v>
      </x:c>
      <x:c r="E22" s="77" t="str"/>
      <x:c r="F22" s="77" t="str">
        <x:v>IT/SCM</x:v>
      </x:c>
      <x:c r="G22" s="77" t="str"/>
      <x:c r="H22" s="80"/>
      <x:c r="I22" s="77" t="str">
        <x:v>Medium</x:v>
      </x:c>
      <x:c r="J22" s="77" t="str"/>
    </x:row>
    <x:row r="23">
      <x:c r="A23" s="77" t="str">
        <x:v>운영</x:v>
      </x:c>
      <x:c r="B23" s="77" t="str">
        <x:v>월간 마감 캘린더</x:v>
      </x:c>
      <x:c r="C23" s="77" t="str">
        <x:v>OL 제출·수급회의·보고·발주 마감일</x:v>
      </x:c>
      <x:c r="D23" s="77" t="str">
        <x:v>미확인</x:v>
      </x:c>
      <x:c r="E23" s="77" t="str"/>
      <x:c r="F23" s="77" t="str">
        <x:v>SCM</x:v>
      </x:c>
      <x:c r="G23" s="77" t="str"/>
      <x:c r="H23" s="80"/>
      <x:c r="I23" s="77" t="str">
        <x:v>High</x:v>
      </x:c>
      <x:c r="J23" s="77" t="str"/>
    </x:row>
    <x:row r="24">
      <x:c r="A24" s="77" t="str">
        <x:v>기타</x:v>
      </x:c>
      <x:c r="B24" s="77" t="str">
        <x:v>예외처리 목록</x:v>
      </x:c>
      <x:c r="C24" s="77" t="str">
        <x:v>긴급발주·공급중단·재고대체·반려</x:v>
      </x:c>
      <x:c r="D24" s="77" t="str">
        <x:v>미확인</x:v>
      </x:c>
      <x:c r="E24" s="77" t="str"/>
      <x:c r="F24" s="77" t="str">
        <x:v>SCM/구매</x:v>
      </x:c>
      <x:c r="G24" s="77" t="str"/>
      <x:c r="H24" s="80"/>
      <x:c r="I24" s="77" t="str">
        <x:v>Medium</x:v>
      </x:c>
      <x:c r="J24" s="77" t="str"/>
    </x:row>
  </x:sheetData>
  <x:mergeCells>
    <x:mergeCell ref="A1:J1"/>
  </x:mergeCells>
  <x:dataValidations count="2">
    <x:dataValidation type="list" sqref="D4:D24">
      <x:formula1>"미확인,미확보,확인중,확보,확정,적용"</x:formula1>
    </x:dataValidation>
    <x:dataValidation type="list" sqref="I4:I24">
      <x:formula1>"High,Medium,Low"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20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14" hidden="0" customWidth="1"/>
    <x:col min="14" max="14" width="12" hidden="0" customWidth="1"/>
    <x:col min="15" max="15" width="12" hidden="0" customWidth="1"/>
    <x:col min="16" max="16" width="14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</x:cols>
  <x:sheetData>
    <x:row r="1" ht="30" customHeight="1">
      <x:c r="A1" s="93" t="str">
        <x:v>계산: 기기 발주량 산출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</x:row>
    <x:row r="3">
      <x:c r="A3" s="67" t="str">
        <x:v>기준월</x:v>
      </x:c>
      <x:c r="B3" s="67" t="str">
        <x:v>필요월도</x:v>
      </x:c>
      <x:c r="C3" s="67" t="str">
        <x:v>기종코드</x:v>
      </x:c>
      <x:c r="D3" s="67" t="str">
        <x:v>기종명</x:v>
      </x:c>
      <x:c r="E3" s="67" t="str">
        <x:v>Supplier</x:v>
      </x:c>
      <x:c r="F3" s="67" t="str">
        <x:v>확정수요</x:v>
      </x:c>
      <x:c r="G3" s="67" t="str">
        <x:v>전월 말 재고</x:v>
      </x:c>
      <x:c r="H3" s="67" t="str">
        <x:v>Open PO(적기)</x:v>
      </x:c>
      <x:c r="I3" s="67" t="str">
        <x:v>가용재고</x:v>
      </x:c>
      <x:c r="J3" s="67" t="str">
        <x:v>기본 필요량</x:v>
      </x:c>
      <x:c r="K3" s="67" t="str">
        <x:v>MOQ</x:v>
      </x:c>
      <x:c r="L3" s="67" t="str">
        <x:v>발주단위</x:v>
      </x:c>
      <x:c r="M3" s="67" t="str">
        <x:v>MOQ 적용 발주량</x:v>
      </x:c>
      <x:c r="N3" s="67" t="str">
        <x:v>전월 OL</x:v>
      </x:c>
      <x:c r="O3" s="67" t="str">
        <x:v>전전월 OL</x:v>
      </x:c>
      <x:c r="P3" s="67" t="str">
        <x:v>전월 Flex 결과</x:v>
      </x:c>
      <x:c r="Q3" s="67" t="str">
        <x:v>전전월 Flex 결과</x:v>
      </x:c>
      <x:c r="R3" s="67" t="str">
        <x:v>최종 제안량</x:v>
      </x:c>
      <x:c r="S3" s="67" t="str">
        <x:v>발주금액</x:v>
      </x:c>
      <x:c r="T3" s="67" t="str">
        <x:v>리스크/调整사유</x:v>
      </x:c>
    </x:row>
    <x:row r="4">
      <x:c r="A4" s="71" t="n">
        <x:v>46235</x:v>
      </x:c>
      <x:c r="B4" s="71" t="n">
        <x:v>46266</x:v>
      </x:c>
      <x:c r="C4" s="72" t="str">
        <x:v>PRT-A3-001</x:v>
      </x:c>
      <x:c r="D4" s="72" t="str">
        <x:v>A3 Printer</x:v>
      </x:c>
      <x:c r="E4" s="72" t="str">
        <x:v>Supplier A</x:v>
      </x:c>
      <x:c r="F4" s="75" t="n">
        <x:f>IF($C4="","",SUMIFS('Input_OL'!$K$4:$K$200,'Input_OL'!$C$4:$C$200,C4,'Input_OL'!$F$4:$F$200,B4))</x:f>
        <x:v>40</x:v>
      </x:c>
      <x:c r="G4" s="75" t="n">
        <x:f>IF($C4="","",SUMIFS('Input_Inventory'!$G$4:$G$200,'Input_Inventory'!$C$4:$C$200,C4))</x:f>
        <x:v>12</x:v>
      </x:c>
      <x:c r="H4" s="75" t="n">
        <x:f>IF($C4="","",SUMIFS('Input_Inventory'!$L$4:$L$200,'Input_Inventory'!$C$4:$C$200,C4,'Input_Inventory'!$F$4:$F$200,B4))</x:f>
        <x:v>10</x:v>
      </x:c>
      <x:c r="I4" s="75" t="n">
        <x:f>IF($C4="","",G4+H4)</x:f>
        <x:v>22</x:v>
      </x:c>
      <x:c r="J4" s="75" t="n">
        <x:f>IF($C4="","",MAX(0,F4-I4))</x:f>
        <x:v>18</x:v>
      </x:c>
      <x:c r="K4" s="75" t="n">
        <x:f>IF($C4="","",SUMIFS('Master_Rules'!$G$4:$G$200,'Master_Rules'!$D$4:$D$200,C4))</x:f>
        <x:v>10</x:v>
      </x:c>
      <x:c r="L4" s="75" t="n">
        <x:f>IF($C4="","",SUMIFS('Master_Rules'!$H$4:$H$200,'Master_Rules'!$D$4:$D$200,C4))</x:f>
        <x:v>10</x:v>
      </x:c>
      <x:c r="M4" s="75" t="n">
        <x:f>IF($C4="","",IF(K4=0,J4,MAX(K4,CEILING(J4,L4))))</x:f>
        <x:v>20</x:v>
      </x:c>
      <x:c r="N4" s="75" t="n">
        <x:f>IF($C4="","",SUMIFS('Input_OL'!$G$4:$G$200,'Input_OL'!$C$4:$C$200,C4,'Input_OL'!$F$4:$F$200,B4))</x:f>
        <x:v>50</x:v>
      </x:c>
      <x:c r="O4" s="75" t="n">
        <x:f>IF($C4="","",SUMIFS('Input_OL'!$G$4:$G$200,'Input_OL'!$C$4:$C$200,C4,'Input_OL'!$F$4:$F$200,B4))</x:f>
        <x:v>50</x:v>
      </x:c>
      <x:c r="P4" s="75" t="str">
        <x:f>IF($C4="","",IF(N4=0,"확인필요",IF(ABS(M4-N4)/N4&lt;=0.2,"정상","Rule초과")))</x:f>
        <x:v>Rule초과</x:v>
      </x:c>
      <x:c r="Q4" s="75" t="str">
        <x:f>IF($C4="","",IF(O4=0,"확인필요",IF(ABS(M4-O4)/O4&lt;=0.3,"정상","Rule초과")))</x:f>
        <x:v>Rule초과</x:v>
      </x:c>
      <x:c r="R4" s="75" t="n">
        <x:f>IF($C4="","",M4)</x:f>
        <x:v>20</x:v>
      </x:c>
      <x:c r="S4" s="75" t="n">
        <x:f>IF($C4="","",R4*SUMIFS('Master_Rules'!$J$4:$J$200,'Master_Rules'!$D$4:$D$200,C4))</x:f>
        <x:v>20000000</x:v>
      </x:c>
      <x:c r="T4" s="72" t="str">
        <x:f>IF($C4="","",IF(OR(P4="Rule초과",Q4="Rule초과"),"Flex 확인",IF(R4&gt;J4,"MOQ 조정","정상")))</x:f>
        <x:v>Flex 확인</x:v>
      </x:c>
    </x:row>
    <x:row r="5">
      <x:c r="A5" s="71" t="n">
        <x:v>46235</x:v>
      </x:c>
      <x:c r="B5" s="71" t="n">
        <x:v>46266</x:v>
      </x:c>
      <x:c r="C5" s="72" t="str">
        <x:v>PRT-A4-001</x:v>
      </x:c>
      <x:c r="D5" s="72" t="str">
        <x:v>A4 Printer</x:v>
      </x:c>
      <x:c r="E5" s="72" t="str">
        <x:v>Supplier B</x:v>
      </x:c>
      <x:c r="F5" s="75" t="n">
        <x:f>IF($C5="","",SUMIFS('Input_OL'!$K$4:$K$200,'Input_OL'!$C$4:$C$200,C5,'Input_OL'!$F$4:$F$200,B5))</x:f>
        <x:v>60</x:v>
      </x:c>
      <x:c r="G5" s="75" t="n">
        <x:f>IF($C5="","",SUMIFS('Input_Inventory'!$G$4:$G$200,'Input_Inventory'!$C$4:$C$200,C5))</x:f>
        <x:v>25</x:v>
      </x:c>
      <x:c r="H5" s="75" t="n">
        <x:f>IF($C5="","",SUMIFS('Input_Inventory'!$L$4:$L$200,'Input_Inventory'!$C$4:$C$200,C5,'Input_Inventory'!$F$4:$F$200,B5))</x:f>
        <x:v>0</x:v>
      </x:c>
      <x:c r="I5" s="75" t="n">
        <x:f>IF($C5="","",G5+H5)</x:f>
        <x:v>25</x:v>
      </x:c>
      <x:c r="J5" s="75" t="n">
        <x:f>IF($C5="","",MAX(0,F5-I5))</x:f>
        <x:v>35</x:v>
      </x:c>
      <x:c r="K5" s="75" t="n">
        <x:f>IF($C5="","",SUMIFS('Master_Rules'!$G$4:$G$200,'Master_Rules'!$D$4:$D$200,C5))</x:f>
        <x:v>20</x:v>
      </x:c>
      <x:c r="L5" s="75" t="n">
        <x:f>IF($C5="","",SUMIFS('Master_Rules'!$H$4:$H$200,'Master_Rules'!$D$4:$D$200,C5))</x:f>
        <x:v>20</x:v>
      </x:c>
      <x:c r="M5" s="75" t="n">
        <x:f>IF($C5="","",IF(K5=0,J5,MAX(K5,CEILING(J5,L5))))</x:f>
        <x:v>40</x:v>
      </x:c>
      <x:c r="N5" s="75" t="n">
        <x:f>IF($C5="","",SUMIFS('Input_OL'!$G$4:$G$200,'Input_OL'!$C$4:$C$200,C5,'Input_OL'!$F$4:$F$200,B5))</x:f>
        <x:v>60</x:v>
      </x:c>
      <x:c r="O5" s="75" t="n">
        <x:f>IF($C5="","",SUMIFS('Input_OL'!$G$4:$G$200,'Input_OL'!$C$4:$C$200,C5,'Input_OL'!$F$4:$F$200,B5))</x:f>
        <x:v>60</x:v>
      </x:c>
      <x:c r="P5" s="75" t="str">
        <x:f>IF($C5="","",IF(N5=0,"확인필요",IF(ABS(M5-N5)/N5&lt;=0.2,"정상","Rule초과")))</x:f>
        <x:v>Rule초과</x:v>
      </x:c>
      <x:c r="Q5" s="75" t="str">
        <x:f>IF($C5="","",IF(O5=0,"확인필요",IF(ABS(M5-O5)/O5&lt;=0.3,"정상","Rule초과")))</x:f>
        <x:v>Rule초과</x:v>
      </x:c>
      <x:c r="R5" s="75" t="n">
        <x:f>IF($C5="","",M5)</x:f>
        <x:v>40</x:v>
      </x:c>
      <x:c r="S5" s="75" t="n">
        <x:f>IF($C5="","",R5*SUMIFS('Master_Rules'!$J$4:$J$200,'Master_Rules'!$D$4:$D$200,C5))</x:f>
        <x:v>26000000</x:v>
      </x:c>
      <x:c r="T5" s="72" t="str">
        <x:f>IF($C5="","",IF(OR(P5="Rule초과",Q5="Rule초과"),"Flex 확인",IF(R5&gt;J5,"MOQ 조정","정상")))</x:f>
        <x:v>Flex 확인</x:v>
      </x:c>
    </x:row>
    <x:row r="6">
      <x:c r="A6" s="71" t="n">
        <x:v>46235</x:v>
      </x:c>
      <x:c r="B6" s="71" t="n">
        <x:v>46296</x:v>
      </x:c>
      <x:c r="C6" s="72" t="str">
        <x:v>PRT-A3-001</x:v>
      </x:c>
      <x:c r="D6" s="72" t="str">
        <x:v>A3 Printer</x:v>
      </x:c>
      <x:c r="E6" s="72" t="str">
        <x:v>Supplier A</x:v>
      </x:c>
      <x:c r="F6" s="75" t="n">
        <x:f>IF($C6="","",SUMIFS('Input_OL'!$K$4:$K$200,'Input_OL'!$C$4:$C$200,C6,'Input_OL'!$F$4:$F$200,B6))</x:f>
        <x:v>30</x:v>
      </x:c>
      <x:c r="G6" s="75" t="n">
        <x:f>IF($C6="","",SUMIFS('Input_Inventory'!$G$4:$G$200,'Input_Inventory'!$C$4:$C$200,C6))</x:f>
        <x:v>12</x:v>
      </x:c>
      <x:c r="H6" s="75" t="n">
        <x:f>IF($C6="","",SUMIFS('Input_Inventory'!$L$4:$L$200,'Input_Inventory'!$C$4:$C$200,C6,'Input_Inventory'!$F$4:$F$200,B6))</x:f>
        <x:v>0</x:v>
      </x:c>
      <x:c r="I6" s="75" t="n">
        <x:f>IF($C6="","",G6+H6)</x:f>
        <x:v>12</x:v>
      </x:c>
      <x:c r="J6" s="75" t="n">
        <x:f>IF($C6="","",MAX(0,F6-I6))</x:f>
        <x:v>18</x:v>
      </x:c>
      <x:c r="K6" s="75" t="n">
        <x:f>IF($C6="","",SUMIFS('Master_Rules'!$G$4:$G$200,'Master_Rules'!$D$4:$D$200,C6))</x:f>
        <x:v>10</x:v>
      </x:c>
      <x:c r="L6" s="75" t="n">
        <x:f>IF($C6="","",SUMIFS('Master_Rules'!$H$4:$H$200,'Master_Rules'!$D$4:$D$200,C6))</x:f>
        <x:v>10</x:v>
      </x:c>
      <x:c r="M6" s="75" t="n">
        <x:f>IF($C6="","",IF(K6=0,J6,MAX(K6,CEILING(J6,L6))))</x:f>
        <x:v>20</x:v>
      </x:c>
      <x:c r="N6" s="75" t="n">
        <x:f>IF($C6="","",SUMIFS('Input_OL'!$G$4:$G$200,'Input_OL'!$C$4:$C$200,C6,'Input_OL'!$F$4:$F$200,B6))</x:f>
        <x:v>30</x:v>
      </x:c>
      <x:c r="O6" s="75" t="n">
        <x:f>IF($C6="","",SUMIFS('Input_OL'!$G$4:$G$200,'Input_OL'!$C$4:$C$200,C6,'Input_OL'!$F$4:$F$200,B6))</x:f>
        <x:v>30</x:v>
      </x:c>
      <x:c r="P6" s="75" t="str">
        <x:f>IF($C6="","",IF(N6=0,"확인필요",IF(ABS(M6-N6)/N6&lt;=0.2,"정상","Rule초과")))</x:f>
        <x:v>Rule초과</x:v>
      </x:c>
      <x:c r="Q6" s="75" t="str">
        <x:f>IF($C6="","",IF(O6=0,"확인필요",IF(ABS(M6-O6)/O6&lt;=0.3,"정상","Rule초과")))</x:f>
        <x:v>Rule초과</x:v>
      </x:c>
      <x:c r="R6" s="75" t="n">
        <x:f>IF($C6="","",M6)</x:f>
        <x:v>20</x:v>
      </x:c>
      <x:c r="S6" s="75" t="n">
        <x:f>IF($C6="","",R6*SUMIFS('Master_Rules'!$J$4:$J$200,'Master_Rules'!$D$4:$D$200,C6))</x:f>
        <x:v>20000000</x:v>
      </x:c>
      <x:c r="T6" s="72" t="str">
        <x:f>IF($C6="","",IF(OR(P6="Rule초과",Q6="Rule초과"),"Flex 확인",IF(R6&gt;J6,"MOQ 조정","정상")))</x:f>
        <x:v>Flex 확인</x:v>
      </x:c>
    </x:row>
    <x:row r="7">
      <x:c r="A7" s="71" t="n">
        <x:v>46235</x:v>
      </x:c>
      <x:c r="B7" s="71" t="n">
        <x:v>46296</x:v>
      </x:c>
      <x:c r="C7" s="72" t="str">
        <x:v>PRT-A4-001</x:v>
      </x:c>
      <x:c r="D7" s="72" t="str">
        <x:v>A4 Printer</x:v>
      </x:c>
      <x:c r="E7" s="72" t="str">
        <x:v>Supplier B</x:v>
      </x:c>
      <x:c r="F7" s="75" t="n">
        <x:f>IF($C7="","",SUMIFS('Input_OL'!$K$4:$K$200,'Input_OL'!$C$4:$C$200,C7,'Input_OL'!$F$4:$F$200,B7))</x:f>
        <x:v>20</x:v>
      </x:c>
      <x:c r="G7" s="75" t="n">
        <x:f>IF($C7="","",SUMIFS('Input_Inventory'!$G$4:$G$200,'Input_Inventory'!$C$4:$C$200,C7))</x:f>
        <x:v>25</x:v>
      </x:c>
      <x:c r="H7" s="75" t="n">
        <x:f>IF($C7="","",SUMIFS('Input_Inventory'!$L$4:$L$200,'Input_Inventory'!$C$4:$C$200,C7,'Input_Inventory'!$F$4:$F$200,B7))</x:f>
        <x:v>0</x:v>
      </x:c>
      <x:c r="I7" s="75" t="n">
        <x:f>IF($C7="","",G7+H7)</x:f>
        <x:v>25</x:v>
      </x:c>
      <x:c r="J7" s="75" t="n">
        <x:f>IF($C7="","",MAX(0,F7-I7))</x:f>
        <x:v>0</x:v>
      </x:c>
      <x:c r="K7" s="75" t="n">
        <x:f>IF($C7="","",SUMIFS('Master_Rules'!$G$4:$G$200,'Master_Rules'!$D$4:$D$200,C7))</x:f>
        <x:v>20</x:v>
      </x:c>
      <x:c r="L7" s="75" t="n">
        <x:f>IF($C7="","",SUMIFS('Master_Rules'!$H$4:$H$200,'Master_Rules'!$D$4:$D$200,C7))</x:f>
        <x:v>20</x:v>
      </x:c>
      <x:c r="M7" s="75" t="n">
        <x:f>IF($C7="","",IF(K7=0,J7,MAX(K7,CEILING(J7,L7))))</x:f>
        <x:v>20</x:v>
      </x:c>
      <x:c r="N7" s="75" t="n">
        <x:f>IF($C7="","",SUMIFS('Input_OL'!$G$4:$G$200,'Input_OL'!$C$4:$C$200,C7,'Input_OL'!$F$4:$F$200,B7))</x:f>
        <x:v>20</x:v>
      </x:c>
      <x:c r="O7" s="75" t="n">
        <x:f>IF($C7="","",SUMIFS('Input_OL'!$G$4:$G$200,'Input_OL'!$C$4:$C$200,C7,'Input_OL'!$F$4:$F$200,B7))</x:f>
        <x:v>20</x:v>
      </x:c>
      <x:c r="P7" s="75" t="str">
        <x:f>IF($C7="","",IF(N7=0,"확인필요",IF(ABS(M7-N7)/N7&lt;=0.2,"정상","Rule초과")))</x:f>
        <x:v>정상</x:v>
      </x:c>
      <x:c r="Q7" s="75" t="str">
        <x:f>IF($C7="","",IF(O7=0,"확인필요",IF(ABS(M7-O7)/O7&lt;=0.3,"정상","Rule초과")))</x:f>
        <x:v>정상</x:v>
      </x:c>
      <x:c r="R7" s="75" t="n">
        <x:f>IF($C7="","",M7)</x:f>
        <x:v>20</x:v>
      </x:c>
      <x:c r="S7" s="75" t="n">
        <x:f>IF($C7="","",R7*SUMIFS('Master_Rules'!$J$4:$J$200,'Master_Rules'!$D$4:$D$200,C7))</x:f>
        <x:v>13000000</x:v>
      </x:c>
      <x:c r="T7" s="72" t="str">
        <x:f>IF($C7="","",IF(OR(P7="Rule초과",Q7="Rule초과"),"Flex 확인",IF(R7&gt;J7,"MOQ 조정","정상")))</x:f>
        <x:v>MOQ 조정</x:v>
      </x:c>
    </x:row>
    <x:row r="8">
      <x:c r="A8" s="71"/>
      <x:c r="B8" s="71"/>
      <x:c r="C8" s="72"/>
      <x:c r="D8" s="72"/>
      <x:c r="E8" s="72"/>
      <x:c r="F8" s="75" t="str">
        <x:f>IF($C8="","",SUMIFS('Input_OL'!$K$4:$K$200,'Input_OL'!$C$4:$C$200,C8,'Input_OL'!$F$4:$F$200,B8))</x:f>
      </x:c>
      <x:c r="G8" s="75" t="str">
        <x:f>IF($C8="","",SUMIFS('Input_Inventory'!$G$4:$G$200,'Input_Inventory'!$C$4:$C$200,C8))</x:f>
      </x:c>
      <x:c r="H8" s="75" t="str">
        <x:f>IF($C8="","",SUMIFS('Input_Inventory'!$L$4:$L$200,'Input_Inventory'!$C$4:$C$200,C8,'Input_Inventory'!$F$4:$F$200,B8))</x:f>
      </x:c>
      <x:c r="I8" s="75" t="str">
        <x:f>IF($C8="","",G8+H8)</x:f>
      </x:c>
      <x:c r="J8" s="75" t="str">
        <x:f>IF($C8="","",MAX(0,F8-I8))</x:f>
      </x:c>
      <x:c r="K8" s="75" t="str">
        <x:f>IF($C8="","",SUMIFS('Master_Rules'!$G$4:$G$200,'Master_Rules'!$D$4:$D$200,C8))</x:f>
      </x:c>
      <x:c r="L8" s="75" t="str">
        <x:f>IF($C8="","",SUMIFS('Master_Rules'!$H$4:$H$200,'Master_Rules'!$D$4:$D$200,C8))</x:f>
      </x:c>
      <x:c r="M8" s="75" t="str">
        <x:f>IF($C8="","",IF(K8=0,J8,MAX(K8,CEILING(J8,L8))))</x:f>
      </x:c>
      <x:c r="N8" s="75" t="str">
        <x:f>IF($C8="","",SUMIFS('Input_OL'!$G$4:$G$200,'Input_OL'!$C$4:$C$200,C8,'Input_OL'!$F$4:$F$200,B8))</x:f>
      </x:c>
      <x:c r="O8" s="75" t="str">
        <x:f>IF($C8="","",SUMIFS('Input_OL'!$G$4:$G$200,'Input_OL'!$C$4:$C$200,C8,'Input_OL'!$F$4:$F$200,B8))</x:f>
      </x:c>
      <x:c r="P8" s="75" t="str">
        <x:f>IF($C8="","",IF(N8=0,"확인필요",IF(ABS(M8-N8)/N8&lt;=0.2,"정상","Rule초과")))</x:f>
      </x:c>
      <x:c r="Q8" s="75" t="str">
        <x:f>IF($C8="","",IF(O8=0,"확인필요",IF(ABS(M8-O8)/O8&lt;=0.3,"정상","Rule초과")))</x:f>
      </x:c>
      <x:c r="R8" s="75" t="str">
        <x:f>IF($C8="","",M8)</x:f>
      </x:c>
      <x:c r="S8" s="75" t="str">
        <x:f>IF($C8="","",R8*SUMIFS('Master_Rules'!$J$4:$J$200,'Master_Rules'!$D$4:$D$200,C8))</x:f>
      </x:c>
      <x:c r="T8" s="72" t="str">
        <x:f>IF($C8="","",IF(OR(P8="Rule초과",Q8="Rule초과"),"Flex 확인",IF(R8&gt;J8,"MOQ 조정","정상")))</x:f>
      </x:c>
    </x:row>
    <x:row r="9">
      <x:c r="A9" s="71"/>
      <x:c r="B9" s="71"/>
      <x:c r="C9" s="72"/>
      <x:c r="D9" s="72"/>
      <x:c r="E9" s="72"/>
      <x:c r="F9" s="75" t="str">
        <x:f>IF($C9="","",SUMIFS('Input_OL'!$K$4:$K$200,'Input_OL'!$C$4:$C$200,C9,'Input_OL'!$F$4:$F$200,B9))</x:f>
      </x:c>
      <x:c r="G9" s="75" t="str">
        <x:f>IF($C9="","",SUMIFS('Input_Inventory'!$G$4:$G$200,'Input_Inventory'!$C$4:$C$200,C9))</x:f>
      </x:c>
      <x:c r="H9" s="75" t="str">
        <x:f>IF($C9="","",SUMIFS('Input_Inventory'!$L$4:$L$200,'Input_Inventory'!$C$4:$C$200,C9,'Input_Inventory'!$F$4:$F$200,B9))</x:f>
      </x:c>
      <x:c r="I9" s="75" t="str">
        <x:f>IF($C9="","",G9+H9)</x:f>
      </x:c>
      <x:c r="J9" s="75" t="str">
        <x:f>IF($C9="","",MAX(0,F9-I9))</x:f>
      </x:c>
      <x:c r="K9" s="75" t="str">
        <x:f>IF($C9="","",SUMIFS('Master_Rules'!$G$4:$G$200,'Master_Rules'!$D$4:$D$200,C9))</x:f>
      </x:c>
      <x:c r="L9" s="75" t="str">
        <x:f>IF($C9="","",SUMIFS('Master_Rules'!$H$4:$H$200,'Master_Rules'!$D$4:$D$200,C9))</x:f>
      </x:c>
      <x:c r="M9" s="75" t="str">
        <x:f>IF($C9="","",IF(K9=0,J9,MAX(K9,CEILING(J9,L9))))</x:f>
      </x:c>
      <x:c r="N9" s="75" t="str">
        <x:f>IF($C9="","",SUMIFS('Input_OL'!$G$4:$G$200,'Input_OL'!$C$4:$C$200,C9,'Input_OL'!$F$4:$F$200,B9))</x:f>
      </x:c>
      <x:c r="O9" s="75" t="str">
        <x:f>IF($C9="","",SUMIFS('Input_OL'!$G$4:$G$200,'Input_OL'!$C$4:$C$200,C9,'Input_OL'!$F$4:$F$200,B9))</x:f>
      </x:c>
      <x:c r="P9" s="75" t="str">
        <x:f>IF($C9="","",IF(N9=0,"확인필요",IF(ABS(M9-N9)/N9&lt;=0.2,"정상","Rule초과")))</x:f>
      </x:c>
      <x:c r="Q9" s="75" t="str">
        <x:f>IF($C9="","",IF(O9=0,"확인필요",IF(ABS(M9-O9)/O9&lt;=0.3,"정상","Rule초과")))</x:f>
      </x:c>
      <x:c r="R9" s="75" t="str">
        <x:f>IF($C9="","",M9)</x:f>
      </x:c>
      <x:c r="S9" s="75" t="str">
        <x:f>IF($C9="","",R9*SUMIFS('Master_Rules'!$J$4:$J$200,'Master_Rules'!$D$4:$D$200,C9))</x:f>
      </x:c>
      <x:c r="T9" s="72" t="str">
        <x:f>IF($C9="","",IF(OR(P9="Rule초과",Q9="Rule초과"),"Flex 확인",IF(R9&gt;J9,"MOQ 조정","정상")))</x:f>
      </x:c>
    </x:row>
    <x:row r="10">
      <x:c r="A10" s="71"/>
      <x:c r="B10" s="71"/>
      <x:c r="C10" s="72"/>
      <x:c r="D10" s="72"/>
      <x:c r="E10" s="72"/>
      <x:c r="F10" s="75" t="str">
        <x:f>IF($C10="","",SUMIFS('Input_OL'!$K$4:$K$200,'Input_OL'!$C$4:$C$200,C10,'Input_OL'!$F$4:$F$200,B10))</x:f>
      </x:c>
      <x:c r="G10" s="75" t="str">
        <x:f>IF($C10="","",SUMIFS('Input_Inventory'!$G$4:$G$200,'Input_Inventory'!$C$4:$C$200,C10))</x:f>
      </x:c>
      <x:c r="H10" s="75" t="str">
        <x:f>IF($C10="","",SUMIFS('Input_Inventory'!$L$4:$L$200,'Input_Inventory'!$C$4:$C$200,C10,'Input_Inventory'!$F$4:$F$200,B10))</x:f>
      </x:c>
      <x:c r="I10" s="75" t="str">
        <x:f>IF($C10="","",G10+H10)</x:f>
      </x:c>
      <x:c r="J10" s="75" t="str">
        <x:f>IF($C10="","",MAX(0,F10-I10))</x:f>
      </x:c>
      <x:c r="K10" s="75" t="str">
        <x:f>IF($C10="","",SUMIFS('Master_Rules'!$G$4:$G$200,'Master_Rules'!$D$4:$D$200,C10))</x:f>
      </x:c>
      <x:c r="L10" s="75" t="str">
        <x:f>IF($C10="","",SUMIFS('Master_Rules'!$H$4:$H$200,'Master_Rules'!$D$4:$D$200,C10))</x:f>
      </x:c>
      <x:c r="M10" s="75" t="str">
        <x:f>IF($C10="","",IF(K10=0,J10,MAX(K10,CEILING(J10,L10))))</x:f>
      </x:c>
      <x:c r="N10" s="75" t="str">
        <x:f>IF($C10="","",SUMIFS('Input_OL'!$G$4:$G$200,'Input_OL'!$C$4:$C$200,C10,'Input_OL'!$F$4:$F$200,B10))</x:f>
      </x:c>
      <x:c r="O10" s="75" t="str">
        <x:f>IF($C10="","",SUMIFS('Input_OL'!$G$4:$G$200,'Input_OL'!$C$4:$C$200,C10,'Input_OL'!$F$4:$F$200,B10))</x:f>
      </x:c>
      <x:c r="P10" s="75" t="str">
        <x:f>IF($C10="","",IF(N10=0,"확인필요",IF(ABS(M10-N10)/N10&lt;=0.2,"정상","Rule초과")))</x:f>
      </x:c>
      <x:c r="Q10" s="75" t="str">
        <x:f>IF($C10="","",IF(O10=0,"확인필요",IF(ABS(M10-O10)/O10&lt;=0.3,"정상","Rule초과")))</x:f>
      </x:c>
      <x:c r="R10" s="75" t="str">
        <x:f>IF($C10="","",M10)</x:f>
      </x:c>
      <x:c r="S10" s="75" t="str">
        <x:f>IF($C10="","",R10*SUMIFS('Master_Rules'!$J$4:$J$200,'Master_Rules'!$D$4:$D$200,C10))</x:f>
      </x:c>
      <x:c r="T10" s="72" t="str">
        <x:f>IF($C10="","",IF(OR(P10="Rule초과",Q10="Rule초과"),"Flex 확인",IF(R10&gt;J10,"MOQ 조정","정상")))</x:f>
      </x:c>
    </x:row>
    <x:row r="11">
      <x:c r="A11" s="71"/>
      <x:c r="B11" s="71"/>
      <x:c r="C11" s="72"/>
      <x:c r="D11" s="72"/>
      <x:c r="E11" s="72"/>
      <x:c r="F11" s="75" t="str">
        <x:f>IF($C11="","",SUMIFS('Input_OL'!$K$4:$K$200,'Input_OL'!$C$4:$C$200,C11,'Input_OL'!$F$4:$F$200,B11))</x:f>
      </x:c>
      <x:c r="G11" s="75" t="str">
        <x:f>IF($C11="","",SUMIFS('Input_Inventory'!$G$4:$G$200,'Input_Inventory'!$C$4:$C$200,C11))</x:f>
      </x:c>
      <x:c r="H11" s="75" t="str">
        <x:f>IF($C11="","",SUMIFS('Input_Inventory'!$L$4:$L$200,'Input_Inventory'!$C$4:$C$200,C11,'Input_Inventory'!$F$4:$F$200,B11))</x:f>
      </x:c>
      <x:c r="I11" s="75" t="str">
        <x:f>IF($C11="","",G11+H11)</x:f>
      </x:c>
      <x:c r="J11" s="75" t="str">
        <x:f>IF($C11="","",MAX(0,F11-I11))</x:f>
      </x:c>
      <x:c r="K11" s="75" t="str">
        <x:f>IF($C11="","",SUMIFS('Master_Rules'!$G$4:$G$200,'Master_Rules'!$D$4:$D$200,C11))</x:f>
      </x:c>
      <x:c r="L11" s="75" t="str">
        <x:f>IF($C11="","",SUMIFS('Master_Rules'!$H$4:$H$200,'Master_Rules'!$D$4:$D$200,C11))</x:f>
      </x:c>
      <x:c r="M11" s="75" t="str">
        <x:f>IF($C11="","",IF(K11=0,J11,MAX(K11,CEILING(J11,L11))))</x:f>
      </x:c>
      <x:c r="N11" s="75" t="str">
        <x:f>IF($C11="","",SUMIFS('Input_OL'!$G$4:$G$200,'Input_OL'!$C$4:$C$200,C11,'Input_OL'!$F$4:$F$200,B11))</x:f>
      </x:c>
      <x:c r="O11" s="75" t="str">
        <x:f>IF($C11="","",SUMIFS('Input_OL'!$G$4:$G$200,'Input_OL'!$C$4:$C$200,C11,'Input_OL'!$F$4:$F$200,B11))</x:f>
      </x:c>
      <x:c r="P11" s="75" t="str">
        <x:f>IF($C11="","",IF(N11=0,"확인필요",IF(ABS(M11-N11)/N11&lt;=0.2,"정상","Rule초과")))</x:f>
      </x:c>
      <x:c r="Q11" s="75" t="str">
        <x:f>IF($C11="","",IF(O11=0,"확인필요",IF(ABS(M11-O11)/O11&lt;=0.3,"정상","Rule초과")))</x:f>
      </x:c>
      <x:c r="R11" s="75" t="str">
        <x:f>IF($C11="","",M11)</x:f>
      </x:c>
      <x:c r="S11" s="75" t="str">
        <x:f>IF($C11="","",R11*SUMIFS('Master_Rules'!$J$4:$J$200,'Master_Rules'!$D$4:$D$200,C11))</x:f>
      </x:c>
      <x:c r="T11" s="72" t="str">
        <x:f>IF($C11="","",IF(OR(P11="Rule초과",Q11="Rule초과"),"Flex 확인",IF(R11&gt;J11,"MOQ 조정","정상")))</x:f>
      </x:c>
    </x:row>
    <x:row r="12">
      <x:c r="A12" s="71"/>
      <x:c r="B12" s="71"/>
      <x:c r="C12" s="72"/>
      <x:c r="D12" s="72"/>
      <x:c r="E12" s="72"/>
      <x:c r="F12" s="75" t="str">
        <x:f>IF($C12="","",SUMIFS('Input_OL'!$K$4:$K$200,'Input_OL'!$C$4:$C$200,C12,'Input_OL'!$F$4:$F$200,B12))</x:f>
      </x:c>
      <x:c r="G12" s="75" t="str">
        <x:f>IF($C12="","",SUMIFS('Input_Inventory'!$G$4:$G$200,'Input_Inventory'!$C$4:$C$200,C12))</x:f>
      </x:c>
      <x:c r="H12" s="75" t="str">
        <x:f>IF($C12="","",SUMIFS('Input_Inventory'!$L$4:$L$200,'Input_Inventory'!$C$4:$C$200,C12,'Input_Inventory'!$F$4:$F$200,B12))</x:f>
      </x:c>
      <x:c r="I12" s="75" t="str">
        <x:f>IF($C12="","",G12+H12)</x:f>
      </x:c>
      <x:c r="J12" s="75" t="str">
        <x:f>IF($C12="","",MAX(0,F12-I12))</x:f>
      </x:c>
      <x:c r="K12" s="75" t="str">
        <x:f>IF($C12="","",SUMIFS('Master_Rules'!$G$4:$G$200,'Master_Rules'!$D$4:$D$200,C12))</x:f>
      </x:c>
      <x:c r="L12" s="75" t="str">
        <x:f>IF($C12="","",SUMIFS('Master_Rules'!$H$4:$H$200,'Master_Rules'!$D$4:$D$200,C12))</x:f>
      </x:c>
      <x:c r="M12" s="75" t="str">
        <x:f>IF($C12="","",IF(K12=0,J12,MAX(K12,CEILING(J12,L12))))</x:f>
      </x:c>
      <x:c r="N12" s="75" t="str">
        <x:f>IF($C12="","",SUMIFS('Input_OL'!$G$4:$G$200,'Input_OL'!$C$4:$C$200,C12,'Input_OL'!$F$4:$F$200,B12))</x:f>
      </x:c>
      <x:c r="O12" s="75" t="str">
        <x:f>IF($C12="","",SUMIFS('Input_OL'!$G$4:$G$200,'Input_OL'!$C$4:$C$200,C12,'Input_OL'!$F$4:$F$200,B12))</x:f>
      </x:c>
      <x:c r="P12" s="75" t="str">
        <x:f>IF($C12="","",IF(N12=0,"확인필요",IF(ABS(M12-N12)/N12&lt;=0.2,"정상","Rule초과")))</x:f>
      </x:c>
      <x:c r="Q12" s="75" t="str">
        <x:f>IF($C12="","",IF(O12=0,"확인필요",IF(ABS(M12-O12)/O12&lt;=0.3,"정상","Rule초과")))</x:f>
      </x:c>
      <x:c r="R12" s="75" t="str">
        <x:f>IF($C12="","",M12)</x:f>
      </x:c>
      <x:c r="S12" s="75" t="str">
        <x:f>IF($C12="","",R12*SUMIFS('Master_Rules'!$J$4:$J$200,'Master_Rules'!$D$4:$D$200,C12))</x:f>
      </x:c>
      <x:c r="T12" s="72" t="str">
        <x:f>IF($C12="","",IF(OR(P12="Rule초과",Q12="Rule초과"),"Flex 확인",IF(R12&gt;J12,"MOQ 조정","정상")))</x:f>
      </x:c>
    </x:row>
    <x:row r="13">
      <x:c r="A13" s="71"/>
      <x:c r="B13" s="71"/>
      <x:c r="C13" s="72"/>
      <x:c r="D13" s="72"/>
      <x:c r="E13" s="72"/>
      <x:c r="F13" s="75" t="str">
        <x:f>IF($C13="","",SUMIFS('Input_OL'!$K$4:$K$200,'Input_OL'!$C$4:$C$200,C13,'Input_OL'!$F$4:$F$200,B13))</x:f>
      </x:c>
      <x:c r="G13" s="75" t="str">
        <x:f>IF($C13="","",SUMIFS('Input_Inventory'!$G$4:$G$200,'Input_Inventory'!$C$4:$C$200,C13))</x:f>
      </x:c>
      <x:c r="H13" s="75" t="str">
        <x:f>IF($C13="","",SUMIFS('Input_Inventory'!$L$4:$L$200,'Input_Inventory'!$C$4:$C$200,C13,'Input_Inventory'!$F$4:$F$200,B13))</x:f>
      </x:c>
      <x:c r="I13" s="75" t="str">
        <x:f>IF($C13="","",G13+H13)</x:f>
      </x:c>
      <x:c r="J13" s="75" t="str">
        <x:f>IF($C13="","",MAX(0,F13-I13))</x:f>
      </x:c>
      <x:c r="K13" s="75" t="str">
        <x:f>IF($C13="","",SUMIFS('Master_Rules'!$G$4:$G$200,'Master_Rules'!$D$4:$D$200,C13))</x:f>
      </x:c>
      <x:c r="L13" s="75" t="str">
        <x:f>IF($C13="","",SUMIFS('Master_Rules'!$H$4:$H$200,'Master_Rules'!$D$4:$D$200,C13))</x:f>
      </x:c>
      <x:c r="M13" s="75" t="str">
        <x:f>IF($C13="","",IF(K13=0,J13,MAX(K13,CEILING(J13,L13))))</x:f>
      </x:c>
      <x:c r="N13" s="75" t="str">
        <x:f>IF($C13="","",SUMIFS('Input_OL'!$G$4:$G$200,'Input_OL'!$C$4:$C$200,C13,'Input_OL'!$F$4:$F$200,B13))</x:f>
      </x:c>
      <x:c r="O13" s="75" t="str">
        <x:f>IF($C13="","",SUMIFS('Input_OL'!$G$4:$G$200,'Input_OL'!$C$4:$C$200,C13,'Input_OL'!$F$4:$F$200,B13))</x:f>
      </x:c>
      <x:c r="P13" s="75" t="str">
        <x:f>IF($C13="","",IF(N13=0,"확인필요",IF(ABS(M13-N13)/N13&lt;=0.2,"정상","Rule초과")))</x:f>
      </x:c>
      <x:c r="Q13" s="75" t="str">
        <x:f>IF($C13="","",IF(O13=0,"확인필요",IF(ABS(M13-O13)/O13&lt;=0.3,"정상","Rule초과")))</x:f>
      </x:c>
      <x:c r="R13" s="75" t="str">
        <x:f>IF($C13="","",M13)</x:f>
      </x:c>
      <x:c r="S13" s="75" t="str">
        <x:f>IF($C13="","",R13*SUMIFS('Master_Rules'!$J$4:$J$200,'Master_Rules'!$D$4:$D$200,C13))</x:f>
      </x:c>
      <x:c r="T13" s="72" t="str">
        <x:f>IF($C13="","",IF(OR(P13="Rule초과",Q13="Rule초과"),"Flex 확인",IF(R13&gt;J13,"MOQ 조정","정상")))</x:f>
      </x:c>
    </x:row>
    <x:row r="14">
      <x:c r="A14" s="71"/>
      <x:c r="B14" s="71"/>
      <x:c r="C14" s="72"/>
      <x:c r="D14" s="72"/>
      <x:c r="E14" s="72"/>
      <x:c r="F14" s="75" t="str">
        <x:f>IF($C14="","",SUMIFS('Input_OL'!$K$4:$K$200,'Input_OL'!$C$4:$C$200,C14,'Input_OL'!$F$4:$F$200,B14))</x:f>
      </x:c>
      <x:c r="G14" s="75" t="str">
        <x:f>IF($C14="","",SUMIFS('Input_Inventory'!$G$4:$G$200,'Input_Inventory'!$C$4:$C$200,C14))</x:f>
      </x:c>
      <x:c r="H14" s="75" t="str">
        <x:f>IF($C14="","",SUMIFS('Input_Inventory'!$L$4:$L$200,'Input_Inventory'!$C$4:$C$200,C14,'Input_Inventory'!$F$4:$F$200,B14))</x:f>
      </x:c>
      <x:c r="I14" s="75" t="str">
        <x:f>IF($C14="","",G14+H14)</x:f>
      </x:c>
      <x:c r="J14" s="75" t="str">
        <x:f>IF($C14="","",MAX(0,F14-I14))</x:f>
      </x:c>
      <x:c r="K14" s="75" t="str">
        <x:f>IF($C14="","",SUMIFS('Master_Rules'!$G$4:$G$200,'Master_Rules'!$D$4:$D$200,C14))</x:f>
      </x:c>
      <x:c r="L14" s="75" t="str">
        <x:f>IF($C14="","",SUMIFS('Master_Rules'!$H$4:$H$200,'Master_Rules'!$D$4:$D$200,C14))</x:f>
      </x:c>
      <x:c r="M14" s="75" t="str">
        <x:f>IF($C14="","",IF(K14=0,J14,MAX(K14,CEILING(J14,L14))))</x:f>
      </x:c>
      <x:c r="N14" s="75" t="str">
        <x:f>IF($C14="","",SUMIFS('Input_OL'!$G$4:$G$200,'Input_OL'!$C$4:$C$200,C14,'Input_OL'!$F$4:$F$200,B14))</x:f>
      </x:c>
      <x:c r="O14" s="75" t="str">
        <x:f>IF($C14="","",SUMIFS('Input_OL'!$G$4:$G$200,'Input_OL'!$C$4:$C$200,C14,'Input_OL'!$F$4:$F$200,B14))</x:f>
      </x:c>
      <x:c r="P14" s="75" t="str">
        <x:f>IF($C14="","",IF(N14=0,"확인필요",IF(ABS(M14-N14)/N14&lt;=0.2,"정상","Rule초과")))</x:f>
      </x:c>
      <x:c r="Q14" s="75" t="str">
        <x:f>IF($C14="","",IF(O14=0,"확인필요",IF(ABS(M14-O14)/O14&lt;=0.3,"정상","Rule초과")))</x:f>
      </x:c>
      <x:c r="R14" s="75" t="str">
        <x:f>IF($C14="","",M14)</x:f>
      </x:c>
      <x:c r="S14" s="75" t="str">
        <x:f>IF($C14="","",R14*SUMIFS('Master_Rules'!$J$4:$J$200,'Master_Rules'!$D$4:$D$200,C14))</x:f>
      </x:c>
      <x:c r="T14" s="72" t="str">
        <x:f>IF($C14="","",IF(OR(P14="Rule초과",Q14="Rule초과"),"Flex 확인",IF(R14&gt;J14,"MOQ 조정","정상")))</x:f>
      </x:c>
    </x:row>
    <x:row r="15">
      <x:c r="A15" s="71"/>
      <x:c r="B15" s="71"/>
      <x:c r="C15" s="72"/>
      <x:c r="D15" s="72"/>
      <x:c r="E15" s="72"/>
      <x:c r="F15" s="75" t="str">
        <x:f>IF($C15="","",SUMIFS('Input_OL'!$K$4:$K$200,'Input_OL'!$C$4:$C$200,C15,'Input_OL'!$F$4:$F$200,B15))</x:f>
      </x:c>
      <x:c r="G15" s="75" t="str">
        <x:f>IF($C15="","",SUMIFS('Input_Inventory'!$G$4:$G$200,'Input_Inventory'!$C$4:$C$200,C15))</x:f>
      </x:c>
      <x:c r="H15" s="75" t="str">
        <x:f>IF($C15="","",SUMIFS('Input_Inventory'!$L$4:$L$200,'Input_Inventory'!$C$4:$C$200,C15,'Input_Inventory'!$F$4:$F$200,B15))</x:f>
      </x:c>
      <x:c r="I15" s="75" t="str">
        <x:f>IF($C15="","",G15+H15)</x:f>
      </x:c>
      <x:c r="J15" s="75" t="str">
        <x:f>IF($C15="","",MAX(0,F15-I15))</x:f>
      </x:c>
      <x:c r="K15" s="75" t="str">
        <x:f>IF($C15="","",SUMIFS('Master_Rules'!$G$4:$G$200,'Master_Rules'!$D$4:$D$200,C15))</x:f>
      </x:c>
      <x:c r="L15" s="75" t="str">
        <x:f>IF($C15="","",SUMIFS('Master_Rules'!$H$4:$H$200,'Master_Rules'!$D$4:$D$200,C15))</x:f>
      </x:c>
      <x:c r="M15" s="75" t="str">
        <x:f>IF($C15="","",IF(K15=0,J15,MAX(K15,CEILING(J15,L15))))</x:f>
      </x:c>
      <x:c r="N15" s="75" t="str">
        <x:f>IF($C15="","",SUMIFS('Input_OL'!$G$4:$G$200,'Input_OL'!$C$4:$C$200,C15,'Input_OL'!$F$4:$F$200,B15))</x:f>
      </x:c>
      <x:c r="O15" s="75" t="str">
        <x:f>IF($C15="","",SUMIFS('Input_OL'!$G$4:$G$200,'Input_OL'!$C$4:$C$200,C15,'Input_OL'!$F$4:$F$200,B15))</x:f>
      </x:c>
      <x:c r="P15" s="75" t="str">
        <x:f>IF($C15="","",IF(N15=0,"확인필요",IF(ABS(M15-N15)/N15&lt;=0.2,"정상","Rule초과")))</x:f>
      </x:c>
      <x:c r="Q15" s="75" t="str">
        <x:f>IF($C15="","",IF(O15=0,"확인필요",IF(ABS(M15-O15)/O15&lt;=0.3,"정상","Rule초과")))</x:f>
      </x:c>
      <x:c r="R15" s="75" t="str">
        <x:f>IF($C15="","",M15)</x:f>
      </x:c>
      <x:c r="S15" s="75" t="str">
        <x:f>IF($C15="","",R15*SUMIFS('Master_Rules'!$J$4:$J$200,'Master_Rules'!$D$4:$D$200,C15))</x:f>
      </x:c>
      <x:c r="T15" s="72" t="str">
        <x:f>IF($C15="","",IF(OR(P15="Rule초과",Q15="Rule초과"),"Flex 확인",IF(R15&gt;J15,"MOQ 조정","정상")))</x:f>
      </x:c>
    </x:row>
    <x:row r="16">
      <x:c r="A16" s="71"/>
      <x:c r="B16" s="71"/>
      <x:c r="C16" s="72"/>
      <x:c r="D16" s="72"/>
      <x:c r="E16" s="72"/>
      <x:c r="F16" s="75" t="str">
        <x:f>IF($C16="","",SUMIFS('Input_OL'!$K$4:$K$200,'Input_OL'!$C$4:$C$200,C16,'Input_OL'!$F$4:$F$200,B16))</x:f>
      </x:c>
      <x:c r="G16" s="75" t="str">
        <x:f>IF($C16="","",SUMIFS('Input_Inventory'!$G$4:$G$200,'Input_Inventory'!$C$4:$C$200,C16))</x:f>
      </x:c>
      <x:c r="H16" s="75" t="str">
        <x:f>IF($C16="","",SUMIFS('Input_Inventory'!$L$4:$L$200,'Input_Inventory'!$C$4:$C$200,C16,'Input_Inventory'!$F$4:$F$200,B16))</x:f>
      </x:c>
      <x:c r="I16" s="75" t="str">
        <x:f>IF($C16="","",G16+H16)</x:f>
      </x:c>
      <x:c r="J16" s="75" t="str">
        <x:f>IF($C16="","",MAX(0,F16-I16))</x:f>
      </x:c>
      <x:c r="K16" s="75" t="str">
        <x:f>IF($C16="","",SUMIFS('Master_Rules'!$G$4:$G$200,'Master_Rules'!$D$4:$D$200,C16))</x:f>
      </x:c>
      <x:c r="L16" s="75" t="str">
        <x:f>IF($C16="","",SUMIFS('Master_Rules'!$H$4:$H$200,'Master_Rules'!$D$4:$D$200,C16))</x:f>
      </x:c>
      <x:c r="M16" s="75" t="str">
        <x:f>IF($C16="","",IF(K16=0,J16,MAX(K16,CEILING(J16,L16))))</x:f>
      </x:c>
      <x:c r="N16" s="75" t="str">
        <x:f>IF($C16="","",SUMIFS('Input_OL'!$G$4:$G$200,'Input_OL'!$C$4:$C$200,C16,'Input_OL'!$F$4:$F$200,B16))</x:f>
      </x:c>
      <x:c r="O16" s="75" t="str">
        <x:f>IF($C16="","",SUMIFS('Input_OL'!$G$4:$G$200,'Input_OL'!$C$4:$C$200,C16,'Input_OL'!$F$4:$F$200,B16))</x:f>
      </x:c>
      <x:c r="P16" s="75" t="str">
        <x:f>IF($C16="","",IF(N16=0,"확인필요",IF(ABS(M16-N16)/N16&lt;=0.2,"정상","Rule초과")))</x:f>
      </x:c>
      <x:c r="Q16" s="75" t="str">
        <x:f>IF($C16="","",IF(O16=0,"확인필요",IF(ABS(M16-O16)/O16&lt;=0.3,"정상","Rule초과")))</x:f>
      </x:c>
      <x:c r="R16" s="75" t="str">
        <x:f>IF($C16="","",M16)</x:f>
      </x:c>
      <x:c r="S16" s="75" t="str">
        <x:f>IF($C16="","",R16*SUMIFS('Master_Rules'!$J$4:$J$200,'Master_Rules'!$D$4:$D$200,C16))</x:f>
      </x:c>
      <x:c r="T16" s="72" t="str">
        <x:f>IF($C16="","",IF(OR(P16="Rule초과",Q16="Rule초과"),"Flex 확인",IF(R16&gt;J16,"MOQ 조정","정상")))</x:f>
      </x:c>
    </x:row>
    <x:row r="17">
      <x:c r="A17" s="71"/>
      <x:c r="B17" s="71"/>
      <x:c r="C17" s="72"/>
      <x:c r="D17" s="72"/>
      <x:c r="E17" s="72"/>
      <x:c r="F17" s="75" t="str">
        <x:f>IF($C17="","",SUMIFS('Input_OL'!$K$4:$K$200,'Input_OL'!$C$4:$C$200,C17,'Input_OL'!$F$4:$F$200,B17))</x:f>
      </x:c>
      <x:c r="G17" s="75" t="str">
        <x:f>IF($C17="","",SUMIFS('Input_Inventory'!$G$4:$G$200,'Input_Inventory'!$C$4:$C$200,C17))</x:f>
      </x:c>
      <x:c r="H17" s="75" t="str">
        <x:f>IF($C17="","",SUMIFS('Input_Inventory'!$L$4:$L$200,'Input_Inventory'!$C$4:$C$200,C17,'Input_Inventory'!$F$4:$F$200,B17))</x:f>
      </x:c>
      <x:c r="I17" s="75" t="str">
        <x:f>IF($C17="","",G17+H17)</x:f>
      </x:c>
      <x:c r="J17" s="75" t="str">
        <x:f>IF($C17="","",MAX(0,F17-I17))</x:f>
      </x:c>
      <x:c r="K17" s="75" t="str">
        <x:f>IF($C17="","",SUMIFS('Master_Rules'!$G$4:$G$200,'Master_Rules'!$D$4:$D$200,C17))</x:f>
      </x:c>
      <x:c r="L17" s="75" t="str">
        <x:f>IF($C17="","",SUMIFS('Master_Rules'!$H$4:$H$200,'Master_Rules'!$D$4:$D$200,C17))</x:f>
      </x:c>
      <x:c r="M17" s="75" t="str">
        <x:f>IF($C17="","",IF(K17=0,J17,MAX(K17,CEILING(J17,L17))))</x:f>
      </x:c>
      <x:c r="N17" s="75" t="str">
        <x:f>IF($C17="","",SUMIFS('Input_OL'!$G$4:$G$200,'Input_OL'!$C$4:$C$200,C17,'Input_OL'!$F$4:$F$200,B17))</x:f>
      </x:c>
      <x:c r="O17" s="75" t="str">
        <x:f>IF($C17="","",SUMIFS('Input_OL'!$G$4:$G$200,'Input_OL'!$C$4:$C$200,C17,'Input_OL'!$F$4:$F$200,B17))</x:f>
      </x:c>
      <x:c r="P17" s="75" t="str">
        <x:f>IF($C17="","",IF(N17=0,"확인필요",IF(ABS(M17-N17)/N17&lt;=0.2,"정상","Rule초과")))</x:f>
      </x:c>
      <x:c r="Q17" s="75" t="str">
        <x:f>IF($C17="","",IF(O17=0,"확인필요",IF(ABS(M17-O17)/O17&lt;=0.3,"정상","Rule초과")))</x:f>
      </x:c>
      <x:c r="R17" s="75" t="str">
        <x:f>IF($C17="","",M17)</x:f>
      </x:c>
      <x:c r="S17" s="75" t="str">
        <x:f>IF($C17="","",R17*SUMIFS('Master_Rules'!$J$4:$J$200,'Master_Rules'!$D$4:$D$200,C17))</x:f>
      </x:c>
      <x:c r="T17" s="72" t="str">
        <x:f>IF($C17="","",IF(OR(P17="Rule초과",Q17="Rule초과"),"Flex 확인",IF(R17&gt;J17,"MOQ 조정","정상")))</x:f>
      </x:c>
    </x:row>
    <x:row r="18">
      <x:c r="A18" s="71"/>
      <x:c r="B18" s="71"/>
      <x:c r="C18" s="72"/>
      <x:c r="D18" s="72"/>
      <x:c r="E18" s="72"/>
      <x:c r="F18" s="75" t="str">
        <x:f>IF($C18="","",SUMIFS('Input_OL'!$K$4:$K$200,'Input_OL'!$C$4:$C$200,C18,'Input_OL'!$F$4:$F$200,B18))</x:f>
      </x:c>
      <x:c r="G18" s="75" t="str">
        <x:f>IF($C18="","",SUMIFS('Input_Inventory'!$G$4:$G$200,'Input_Inventory'!$C$4:$C$200,C18))</x:f>
      </x:c>
      <x:c r="H18" s="75" t="str">
        <x:f>IF($C18="","",SUMIFS('Input_Inventory'!$L$4:$L$200,'Input_Inventory'!$C$4:$C$200,C18,'Input_Inventory'!$F$4:$F$200,B18))</x:f>
      </x:c>
      <x:c r="I18" s="75" t="str">
        <x:f>IF($C18="","",G18+H18)</x:f>
      </x:c>
      <x:c r="J18" s="75" t="str">
        <x:f>IF($C18="","",MAX(0,F18-I18))</x:f>
      </x:c>
      <x:c r="K18" s="75" t="str">
        <x:f>IF($C18="","",SUMIFS('Master_Rules'!$G$4:$G$200,'Master_Rules'!$D$4:$D$200,C18))</x:f>
      </x:c>
      <x:c r="L18" s="75" t="str">
        <x:f>IF($C18="","",SUMIFS('Master_Rules'!$H$4:$H$200,'Master_Rules'!$D$4:$D$200,C18))</x:f>
      </x:c>
      <x:c r="M18" s="75" t="str">
        <x:f>IF($C18="","",IF(K18=0,J18,MAX(K18,CEILING(J18,L18))))</x:f>
      </x:c>
      <x:c r="N18" s="75" t="str">
        <x:f>IF($C18="","",SUMIFS('Input_OL'!$G$4:$G$200,'Input_OL'!$C$4:$C$200,C18,'Input_OL'!$F$4:$F$200,B18))</x:f>
      </x:c>
      <x:c r="O18" s="75" t="str">
        <x:f>IF($C18="","",SUMIFS('Input_OL'!$G$4:$G$200,'Input_OL'!$C$4:$C$200,C18,'Input_OL'!$F$4:$F$200,B18))</x:f>
      </x:c>
      <x:c r="P18" s="75" t="str">
        <x:f>IF($C18="","",IF(N18=0,"확인필요",IF(ABS(M18-N18)/N18&lt;=0.2,"정상","Rule초과")))</x:f>
      </x:c>
      <x:c r="Q18" s="75" t="str">
        <x:f>IF($C18="","",IF(O18=0,"확인필요",IF(ABS(M18-O18)/O18&lt;=0.3,"정상","Rule초과")))</x:f>
      </x:c>
      <x:c r="R18" s="75" t="str">
        <x:f>IF($C18="","",M18)</x:f>
      </x:c>
      <x:c r="S18" s="75" t="str">
        <x:f>IF($C18="","",R18*SUMIFS('Master_Rules'!$J$4:$J$200,'Master_Rules'!$D$4:$D$200,C18))</x:f>
      </x:c>
      <x:c r="T18" s="72" t="str">
        <x:f>IF($C18="","",IF(OR(P18="Rule초과",Q18="Rule초과"),"Flex 확인",IF(R18&gt;J18,"MOQ 조정","정상")))</x:f>
      </x:c>
    </x:row>
    <x:row r="19">
      <x:c r="A19" s="71"/>
      <x:c r="B19" s="71"/>
      <x:c r="C19" s="72"/>
      <x:c r="D19" s="72"/>
      <x:c r="E19" s="72"/>
      <x:c r="F19" s="75" t="str">
        <x:f>IF($C19="","",SUMIFS('Input_OL'!$K$4:$K$200,'Input_OL'!$C$4:$C$200,C19,'Input_OL'!$F$4:$F$200,B19))</x:f>
      </x:c>
      <x:c r="G19" s="75" t="str">
        <x:f>IF($C19="","",SUMIFS('Input_Inventory'!$G$4:$G$200,'Input_Inventory'!$C$4:$C$200,C19))</x:f>
      </x:c>
      <x:c r="H19" s="75" t="str">
        <x:f>IF($C19="","",SUMIFS('Input_Inventory'!$L$4:$L$200,'Input_Inventory'!$C$4:$C$200,C19,'Input_Inventory'!$F$4:$F$200,B19))</x:f>
      </x:c>
      <x:c r="I19" s="75" t="str">
        <x:f>IF($C19="","",G19+H19)</x:f>
      </x:c>
      <x:c r="J19" s="75" t="str">
        <x:f>IF($C19="","",MAX(0,F19-I19))</x:f>
      </x:c>
      <x:c r="K19" s="75" t="str">
        <x:f>IF($C19="","",SUMIFS('Master_Rules'!$G$4:$G$200,'Master_Rules'!$D$4:$D$200,C19))</x:f>
      </x:c>
      <x:c r="L19" s="75" t="str">
        <x:f>IF($C19="","",SUMIFS('Master_Rules'!$H$4:$H$200,'Master_Rules'!$D$4:$D$200,C19))</x:f>
      </x:c>
      <x:c r="M19" s="75" t="str">
        <x:f>IF($C19="","",IF(K19=0,J19,MAX(K19,CEILING(J19,L19))))</x:f>
      </x:c>
      <x:c r="N19" s="75" t="str">
        <x:f>IF($C19="","",SUMIFS('Input_OL'!$G$4:$G$200,'Input_OL'!$C$4:$C$200,C19,'Input_OL'!$F$4:$F$200,B19))</x:f>
      </x:c>
      <x:c r="O19" s="75" t="str">
        <x:f>IF($C19="","",SUMIFS('Input_OL'!$G$4:$G$200,'Input_OL'!$C$4:$C$200,C19,'Input_OL'!$F$4:$F$200,B19))</x:f>
      </x:c>
      <x:c r="P19" s="75" t="str">
        <x:f>IF($C19="","",IF(N19=0,"확인필요",IF(ABS(M19-N19)/N19&lt;=0.2,"정상","Rule초과")))</x:f>
      </x:c>
      <x:c r="Q19" s="75" t="str">
        <x:f>IF($C19="","",IF(O19=0,"확인필요",IF(ABS(M19-O19)/O19&lt;=0.3,"정상","Rule초과")))</x:f>
      </x:c>
      <x:c r="R19" s="75" t="str">
        <x:f>IF($C19="","",M19)</x:f>
      </x:c>
      <x:c r="S19" s="75" t="str">
        <x:f>IF($C19="","",R19*SUMIFS('Master_Rules'!$J$4:$J$200,'Master_Rules'!$D$4:$D$200,C19))</x:f>
      </x:c>
      <x:c r="T19" s="72" t="str">
        <x:f>IF($C19="","",IF(OR(P19="Rule초과",Q19="Rule초과"),"Flex 확인",IF(R19&gt;J19,"MOQ 조정","정상")))</x:f>
      </x:c>
    </x:row>
    <x:row r="20">
      <x:c r="A20" s="71"/>
      <x:c r="B20" s="71"/>
      <x:c r="C20" s="72"/>
      <x:c r="D20" s="72"/>
      <x:c r="E20" s="72"/>
      <x:c r="F20" s="75" t="str">
        <x:f>IF($C20="","",SUMIFS('Input_OL'!$K$4:$K$200,'Input_OL'!$C$4:$C$200,C20,'Input_OL'!$F$4:$F$200,B20))</x:f>
      </x:c>
      <x:c r="G20" s="75" t="str">
        <x:f>IF($C20="","",SUMIFS('Input_Inventory'!$G$4:$G$200,'Input_Inventory'!$C$4:$C$200,C20))</x:f>
      </x:c>
      <x:c r="H20" s="75" t="str">
        <x:f>IF($C20="","",SUMIFS('Input_Inventory'!$L$4:$L$200,'Input_Inventory'!$C$4:$C$200,C20,'Input_Inventory'!$F$4:$F$200,B20))</x:f>
      </x:c>
      <x:c r="I20" s="75" t="str">
        <x:f>IF($C20="","",G20+H20)</x:f>
      </x:c>
      <x:c r="J20" s="75" t="str">
        <x:f>IF($C20="","",MAX(0,F20-I20))</x:f>
      </x:c>
      <x:c r="K20" s="75" t="str">
        <x:f>IF($C20="","",SUMIFS('Master_Rules'!$G$4:$G$200,'Master_Rules'!$D$4:$D$200,C20))</x:f>
      </x:c>
      <x:c r="L20" s="75" t="str">
        <x:f>IF($C20="","",SUMIFS('Master_Rules'!$H$4:$H$200,'Master_Rules'!$D$4:$D$200,C20))</x:f>
      </x:c>
      <x:c r="M20" s="75" t="str">
        <x:f>IF($C20="","",IF(K20=0,J20,MAX(K20,CEILING(J20,L20))))</x:f>
      </x:c>
      <x:c r="N20" s="75" t="str">
        <x:f>IF($C20="","",SUMIFS('Input_OL'!$G$4:$G$200,'Input_OL'!$C$4:$C$200,C20,'Input_OL'!$F$4:$F$200,B20))</x:f>
      </x:c>
      <x:c r="O20" s="75" t="str">
        <x:f>IF($C20="","",SUMIFS('Input_OL'!$G$4:$G$200,'Input_OL'!$C$4:$C$200,C20,'Input_OL'!$F$4:$F$200,B20))</x:f>
      </x:c>
      <x:c r="P20" s="75" t="str">
        <x:f>IF($C20="","",IF(N20=0,"확인필요",IF(ABS(M20-N20)/N20&lt;=0.2,"정상","Rule초과")))</x:f>
      </x:c>
      <x:c r="Q20" s="75" t="str">
        <x:f>IF($C20="","",IF(O20=0,"확인필요",IF(ABS(M20-O20)/O20&lt;=0.3,"정상","Rule초과")))</x:f>
      </x:c>
      <x:c r="R20" s="75" t="str">
        <x:f>IF($C20="","",M20)</x:f>
      </x:c>
      <x:c r="S20" s="75" t="str">
        <x:f>IF($C20="","",R20*SUMIFS('Master_Rules'!$J$4:$J$200,'Master_Rules'!$D$4:$D$200,C20))</x:f>
      </x:c>
      <x:c r="T20" s="72" t="str">
        <x:f>IF($C20="","",IF(OR(P20="Rule초과",Q20="Rule초과"),"Flex 확인",IF(R20&gt;J20,"MOQ 조정","정상")))</x:f>
      </x:c>
    </x:row>
    <x:row r="21">
      <x:c r="A21" s="71"/>
      <x:c r="B21" s="71"/>
      <x:c r="C21" s="72"/>
      <x:c r="D21" s="72"/>
      <x:c r="E21" s="72"/>
      <x:c r="F21" s="75" t="str">
        <x:f>IF($C21="","",SUMIFS('Input_OL'!$K$4:$K$200,'Input_OL'!$C$4:$C$200,C21,'Input_OL'!$F$4:$F$200,B21))</x:f>
      </x:c>
      <x:c r="G21" s="75" t="str">
        <x:f>IF($C21="","",SUMIFS('Input_Inventory'!$G$4:$G$200,'Input_Inventory'!$C$4:$C$200,C21))</x:f>
      </x:c>
      <x:c r="H21" s="75" t="str">
        <x:f>IF($C21="","",SUMIFS('Input_Inventory'!$L$4:$L$200,'Input_Inventory'!$C$4:$C$200,C21,'Input_Inventory'!$F$4:$F$200,B21))</x:f>
      </x:c>
      <x:c r="I21" s="75" t="str">
        <x:f>IF($C21="","",G21+H21)</x:f>
      </x:c>
      <x:c r="J21" s="75" t="str">
        <x:f>IF($C21="","",MAX(0,F21-I21))</x:f>
      </x:c>
      <x:c r="K21" s="75" t="str">
        <x:f>IF($C21="","",SUMIFS('Master_Rules'!$G$4:$G$200,'Master_Rules'!$D$4:$D$200,C21))</x:f>
      </x:c>
      <x:c r="L21" s="75" t="str">
        <x:f>IF($C21="","",SUMIFS('Master_Rules'!$H$4:$H$200,'Master_Rules'!$D$4:$D$200,C21))</x:f>
      </x:c>
      <x:c r="M21" s="75" t="str">
        <x:f>IF($C21="","",IF(K21=0,J21,MAX(K21,CEILING(J21,L21))))</x:f>
      </x:c>
      <x:c r="N21" s="75" t="str">
        <x:f>IF($C21="","",SUMIFS('Input_OL'!$G$4:$G$200,'Input_OL'!$C$4:$C$200,C21,'Input_OL'!$F$4:$F$200,B21))</x:f>
      </x:c>
      <x:c r="O21" s="75" t="str">
        <x:f>IF($C21="","",SUMIFS('Input_OL'!$G$4:$G$200,'Input_OL'!$C$4:$C$200,C21,'Input_OL'!$F$4:$F$200,B21))</x:f>
      </x:c>
      <x:c r="P21" s="75" t="str">
        <x:f>IF($C21="","",IF(N21=0,"확인필요",IF(ABS(M21-N21)/N21&lt;=0.2,"정상","Rule초과")))</x:f>
      </x:c>
      <x:c r="Q21" s="75" t="str">
        <x:f>IF($C21="","",IF(O21=0,"확인필요",IF(ABS(M21-O21)/O21&lt;=0.3,"정상","Rule초과")))</x:f>
      </x:c>
      <x:c r="R21" s="75" t="str">
        <x:f>IF($C21="","",M21)</x:f>
      </x:c>
      <x:c r="S21" s="75" t="str">
        <x:f>IF($C21="","",R21*SUMIFS('Master_Rules'!$J$4:$J$200,'Master_Rules'!$D$4:$D$200,C21))</x:f>
      </x:c>
      <x:c r="T21" s="72" t="str">
        <x:f>IF($C21="","",IF(OR(P21="Rule초과",Q21="Rule초과"),"Flex 확인",IF(R21&gt;J21,"MOQ 조정","정상")))</x:f>
      </x:c>
    </x:row>
    <x:row r="22">
      <x:c r="A22" s="71"/>
      <x:c r="B22" s="71"/>
      <x:c r="C22" s="72"/>
      <x:c r="D22" s="72"/>
      <x:c r="E22" s="72"/>
      <x:c r="F22" s="75" t="str">
        <x:f>IF($C22="","",SUMIFS('Input_OL'!$K$4:$K$200,'Input_OL'!$C$4:$C$200,C22,'Input_OL'!$F$4:$F$200,B22))</x:f>
      </x:c>
      <x:c r="G22" s="75" t="str">
        <x:f>IF($C22="","",SUMIFS('Input_Inventory'!$G$4:$G$200,'Input_Inventory'!$C$4:$C$200,C22))</x:f>
      </x:c>
      <x:c r="H22" s="75" t="str">
        <x:f>IF($C22="","",SUMIFS('Input_Inventory'!$L$4:$L$200,'Input_Inventory'!$C$4:$C$200,C22,'Input_Inventory'!$F$4:$F$200,B22))</x:f>
      </x:c>
      <x:c r="I22" s="75" t="str">
        <x:f>IF($C22="","",G22+H22)</x:f>
      </x:c>
      <x:c r="J22" s="75" t="str">
        <x:f>IF($C22="","",MAX(0,F22-I22))</x:f>
      </x:c>
      <x:c r="K22" s="75" t="str">
        <x:f>IF($C22="","",SUMIFS('Master_Rules'!$G$4:$G$200,'Master_Rules'!$D$4:$D$200,C22))</x:f>
      </x:c>
      <x:c r="L22" s="75" t="str">
        <x:f>IF($C22="","",SUMIFS('Master_Rules'!$H$4:$H$200,'Master_Rules'!$D$4:$D$200,C22))</x:f>
      </x:c>
      <x:c r="M22" s="75" t="str">
        <x:f>IF($C22="","",IF(K22=0,J22,MAX(K22,CEILING(J22,L22))))</x:f>
      </x:c>
      <x:c r="N22" s="75" t="str">
        <x:f>IF($C22="","",SUMIFS('Input_OL'!$G$4:$G$200,'Input_OL'!$C$4:$C$200,C22,'Input_OL'!$F$4:$F$200,B22))</x:f>
      </x:c>
      <x:c r="O22" s="75" t="str">
        <x:f>IF($C22="","",SUMIFS('Input_OL'!$G$4:$G$200,'Input_OL'!$C$4:$C$200,C22,'Input_OL'!$F$4:$F$200,B22))</x:f>
      </x:c>
      <x:c r="P22" s="75" t="str">
        <x:f>IF($C22="","",IF(N22=0,"확인필요",IF(ABS(M22-N22)/N22&lt;=0.2,"정상","Rule초과")))</x:f>
      </x:c>
      <x:c r="Q22" s="75" t="str">
        <x:f>IF($C22="","",IF(O22=0,"확인필요",IF(ABS(M22-O22)/O22&lt;=0.3,"정상","Rule초과")))</x:f>
      </x:c>
      <x:c r="R22" s="75" t="str">
        <x:f>IF($C22="","",M22)</x:f>
      </x:c>
      <x:c r="S22" s="75" t="str">
        <x:f>IF($C22="","",R22*SUMIFS('Master_Rules'!$J$4:$J$200,'Master_Rules'!$D$4:$D$200,C22))</x:f>
      </x:c>
      <x:c r="T22" s="72" t="str">
        <x:f>IF($C22="","",IF(OR(P22="Rule초과",Q22="Rule초과"),"Flex 확인",IF(R22&gt;J22,"MOQ 조정","정상")))</x:f>
      </x:c>
    </x:row>
    <x:row r="23">
      <x:c r="A23" s="71"/>
      <x:c r="B23" s="71"/>
      <x:c r="C23" s="72"/>
      <x:c r="D23" s="72"/>
      <x:c r="E23" s="72"/>
      <x:c r="F23" s="75" t="str">
        <x:f>IF($C23="","",SUMIFS('Input_OL'!$K$4:$K$200,'Input_OL'!$C$4:$C$200,C23,'Input_OL'!$F$4:$F$200,B23))</x:f>
      </x:c>
      <x:c r="G23" s="75" t="str">
        <x:f>IF($C23="","",SUMIFS('Input_Inventory'!$G$4:$G$200,'Input_Inventory'!$C$4:$C$200,C23))</x:f>
      </x:c>
      <x:c r="H23" s="75" t="str">
        <x:f>IF($C23="","",SUMIFS('Input_Inventory'!$L$4:$L$200,'Input_Inventory'!$C$4:$C$200,C23,'Input_Inventory'!$F$4:$F$200,B23))</x:f>
      </x:c>
      <x:c r="I23" s="75" t="str">
        <x:f>IF($C23="","",G23+H23)</x:f>
      </x:c>
      <x:c r="J23" s="75" t="str">
        <x:f>IF($C23="","",MAX(0,F23-I23))</x:f>
      </x:c>
      <x:c r="K23" s="75" t="str">
        <x:f>IF($C23="","",SUMIFS('Master_Rules'!$G$4:$G$200,'Master_Rules'!$D$4:$D$200,C23))</x:f>
      </x:c>
      <x:c r="L23" s="75" t="str">
        <x:f>IF($C23="","",SUMIFS('Master_Rules'!$H$4:$H$200,'Master_Rules'!$D$4:$D$200,C23))</x:f>
      </x:c>
      <x:c r="M23" s="75" t="str">
        <x:f>IF($C23="","",IF(K23=0,J23,MAX(K23,CEILING(J23,L23))))</x:f>
      </x:c>
      <x:c r="N23" s="75" t="str">
        <x:f>IF($C23="","",SUMIFS('Input_OL'!$G$4:$G$200,'Input_OL'!$C$4:$C$200,C23,'Input_OL'!$F$4:$F$200,B23))</x:f>
      </x:c>
      <x:c r="O23" s="75" t="str">
        <x:f>IF($C23="","",SUMIFS('Input_OL'!$G$4:$G$200,'Input_OL'!$C$4:$C$200,C23,'Input_OL'!$F$4:$F$200,B23))</x:f>
      </x:c>
      <x:c r="P23" s="75" t="str">
        <x:f>IF($C23="","",IF(N23=0,"확인필요",IF(ABS(M23-N23)/N23&lt;=0.2,"정상","Rule초과")))</x:f>
      </x:c>
      <x:c r="Q23" s="75" t="str">
        <x:f>IF($C23="","",IF(O23=0,"확인필요",IF(ABS(M23-O23)/O23&lt;=0.3,"정상","Rule초과")))</x:f>
      </x:c>
      <x:c r="R23" s="75" t="str">
        <x:f>IF($C23="","",M23)</x:f>
      </x:c>
      <x:c r="S23" s="75" t="str">
        <x:f>IF($C23="","",R23*SUMIFS('Master_Rules'!$J$4:$J$200,'Master_Rules'!$D$4:$D$200,C23))</x:f>
      </x:c>
      <x:c r="T23" s="72" t="str">
        <x:f>IF($C23="","",IF(OR(P23="Rule초과",Q23="Rule초과"),"Flex 확인",IF(R23&gt;J23,"MOQ 조정","정상")))</x:f>
      </x:c>
    </x:row>
    <x:row r="24">
      <x:c r="A24" s="71"/>
      <x:c r="B24" s="71"/>
      <x:c r="C24" s="72"/>
      <x:c r="D24" s="72"/>
      <x:c r="E24" s="72"/>
      <x:c r="F24" s="75" t="str">
        <x:f>IF($C24="","",SUMIFS('Input_OL'!$K$4:$K$200,'Input_OL'!$C$4:$C$200,C24,'Input_OL'!$F$4:$F$200,B24))</x:f>
      </x:c>
      <x:c r="G24" s="75" t="str">
        <x:f>IF($C24="","",SUMIFS('Input_Inventory'!$G$4:$G$200,'Input_Inventory'!$C$4:$C$200,C24))</x:f>
      </x:c>
      <x:c r="H24" s="75" t="str">
        <x:f>IF($C24="","",SUMIFS('Input_Inventory'!$L$4:$L$200,'Input_Inventory'!$C$4:$C$200,C24,'Input_Inventory'!$F$4:$F$200,B24))</x:f>
      </x:c>
      <x:c r="I24" s="75" t="str">
        <x:f>IF($C24="","",G24+H24)</x:f>
      </x:c>
      <x:c r="J24" s="75" t="str">
        <x:f>IF($C24="","",MAX(0,F24-I24))</x:f>
      </x:c>
      <x:c r="K24" s="75" t="str">
        <x:f>IF($C24="","",SUMIFS('Master_Rules'!$G$4:$G$200,'Master_Rules'!$D$4:$D$200,C24))</x:f>
      </x:c>
      <x:c r="L24" s="75" t="str">
        <x:f>IF($C24="","",SUMIFS('Master_Rules'!$H$4:$H$200,'Master_Rules'!$D$4:$D$200,C24))</x:f>
      </x:c>
      <x:c r="M24" s="75" t="str">
        <x:f>IF($C24="","",IF(K24=0,J24,MAX(K24,CEILING(J24,L24))))</x:f>
      </x:c>
      <x:c r="N24" s="75" t="str">
        <x:f>IF($C24="","",SUMIFS('Input_OL'!$G$4:$G$200,'Input_OL'!$C$4:$C$200,C24,'Input_OL'!$F$4:$F$200,B24))</x:f>
      </x:c>
      <x:c r="O24" s="75" t="str">
        <x:f>IF($C24="","",SUMIFS('Input_OL'!$G$4:$G$200,'Input_OL'!$C$4:$C$200,C24,'Input_OL'!$F$4:$F$200,B24))</x:f>
      </x:c>
      <x:c r="P24" s="75" t="str">
        <x:f>IF($C24="","",IF(N24=0,"확인필요",IF(ABS(M24-N24)/N24&lt;=0.2,"정상","Rule초과")))</x:f>
      </x:c>
      <x:c r="Q24" s="75" t="str">
        <x:f>IF($C24="","",IF(O24=0,"확인필요",IF(ABS(M24-O24)/O24&lt;=0.3,"정상","Rule초과")))</x:f>
      </x:c>
      <x:c r="R24" s="75" t="str">
        <x:f>IF($C24="","",M24)</x:f>
      </x:c>
      <x:c r="S24" s="75" t="str">
        <x:f>IF($C24="","",R24*SUMIFS('Master_Rules'!$J$4:$J$200,'Master_Rules'!$D$4:$D$200,C24))</x:f>
      </x:c>
      <x:c r="T24" s="72" t="str">
        <x:f>IF($C24="","",IF(OR(P24="Rule초과",Q24="Rule초과"),"Flex 확인",IF(R24&gt;J24,"MOQ 조정","정상")))</x:f>
      </x:c>
    </x:row>
    <x:row r="25">
      <x:c r="A25" s="71"/>
      <x:c r="B25" s="71"/>
      <x:c r="C25" s="72"/>
      <x:c r="D25" s="72"/>
      <x:c r="E25" s="72"/>
      <x:c r="F25" s="75" t="str">
        <x:f>IF($C25="","",SUMIFS('Input_OL'!$K$4:$K$200,'Input_OL'!$C$4:$C$200,C25,'Input_OL'!$F$4:$F$200,B25))</x:f>
      </x:c>
      <x:c r="G25" s="75" t="str">
        <x:f>IF($C25="","",SUMIFS('Input_Inventory'!$G$4:$G$200,'Input_Inventory'!$C$4:$C$200,C25))</x:f>
      </x:c>
      <x:c r="H25" s="75" t="str">
        <x:f>IF($C25="","",SUMIFS('Input_Inventory'!$L$4:$L$200,'Input_Inventory'!$C$4:$C$200,C25,'Input_Inventory'!$F$4:$F$200,B25))</x:f>
      </x:c>
      <x:c r="I25" s="75" t="str">
        <x:f>IF($C25="","",G25+H25)</x:f>
      </x:c>
      <x:c r="J25" s="75" t="str">
        <x:f>IF($C25="","",MAX(0,F25-I25))</x:f>
      </x:c>
      <x:c r="K25" s="75" t="str">
        <x:f>IF($C25="","",SUMIFS('Master_Rules'!$G$4:$G$200,'Master_Rules'!$D$4:$D$200,C25))</x:f>
      </x:c>
      <x:c r="L25" s="75" t="str">
        <x:f>IF($C25="","",SUMIFS('Master_Rules'!$H$4:$H$200,'Master_Rules'!$D$4:$D$200,C25))</x:f>
      </x:c>
      <x:c r="M25" s="75" t="str">
        <x:f>IF($C25="","",IF(K25=0,J25,MAX(K25,CEILING(J25,L25))))</x:f>
      </x:c>
      <x:c r="N25" s="75" t="str">
        <x:f>IF($C25="","",SUMIFS('Input_OL'!$G$4:$G$200,'Input_OL'!$C$4:$C$200,C25,'Input_OL'!$F$4:$F$200,B25))</x:f>
      </x:c>
      <x:c r="O25" s="75" t="str">
        <x:f>IF($C25="","",SUMIFS('Input_OL'!$G$4:$G$200,'Input_OL'!$C$4:$C$200,C25,'Input_OL'!$F$4:$F$200,B25))</x:f>
      </x:c>
      <x:c r="P25" s="75" t="str">
        <x:f>IF($C25="","",IF(N25=0,"확인필요",IF(ABS(M25-N25)/N25&lt;=0.2,"정상","Rule초과")))</x:f>
      </x:c>
      <x:c r="Q25" s="75" t="str">
        <x:f>IF($C25="","",IF(O25=0,"확인필요",IF(ABS(M25-O25)/O25&lt;=0.3,"정상","Rule초과")))</x:f>
      </x:c>
      <x:c r="R25" s="75" t="str">
        <x:f>IF($C25="","",M25)</x:f>
      </x:c>
      <x:c r="S25" s="75" t="str">
        <x:f>IF($C25="","",R25*SUMIFS('Master_Rules'!$J$4:$J$200,'Master_Rules'!$D$4:$D$200,C25))</x:f>
      </x:c>
      <x:c r="T25" s="72" t="str">
        <x:f>IF($C25="","",IF(OR(P25="Rule초과",Q25="Rule초과"),"Flex 확인",IF(R25&gt;J25,"MOQ 조정","정상")))</x:f>
      </x:c>
    </x:row>
    <x:row r="26">
      <x:c r="A26" s="71"/>
      <x:c r="B26" s="71"/>
      <x:c r="C26" s="72"/>
      <x:c r="D26" s="72"/>
      <x:c r="E26" s="72"/>
      <x:c r="F26" s="75" t="str">
        <x:f>IF($C26="","",SUMIFS('Input_OL'!$K$4:$K$200,'Input_OL'!$C$4:$C$200,C26,'Input_OL'!$F$4:$F$200,B26))</x:f>
      </x:c>
      <x:c r="G26" s="75" t="str">
        <x:f>IF($C26="","",SUMIFS('Input_Inventory'!$G$4:$G$200,'Input_Inventory'!$C$4:$C$200,C26))</x:f>
      </x:c>
      <x:c r="H26" s="75" t="str">
        <x:f>IF($C26="","",SUMIFS('Input_Inventory'!$L$4:$L$200,'Input_Inventory'!$C$4:$C$200,C26,'Input_Inventory'!$F$4:$F$200,B26))</x:f>
      </x:c>
      <x:c r="I26" s="75" t="str">
        <x:f>IF($C26="","",G26+H26)</x:f>
      </x:c>
      <x:c r="J26" s="75" t="str">
        <x:f>IF($C26="","",MAX(0,F26-I26))</x:f>
      </x:c>
      <x:c r="K26" s="75" t="str">
        <x:f>IF($C26="","",SUMIFS('Master_Rules'!$G$4:$G$200,'Master_Rules'!$D$4:$D$200,C26))</x:f>
      </x:c>
      <x:c r="L26" s="75" t="str">
        <x:f>IF($C26="","",SUMIFS('Master_Rules'!$H$4:$H$200,'Master_Rules'!$D$4:$D$200,C26))</x:f>
      </x:c>
      <x:c r="M26" s="75" t="str">
        <x:f>IF($C26="","",IF(K26=0,J26,MAX(K26,CEILING(J26,L26))))</x:f>
      </x:c>
      <x:c r="N26" s="75" t="str">
        <x:f>IF($C26="","",SUMIFS('Input_OL'!$G$4:$G$200,'Input_OL'!$C$4:$C$200,C26,'Input_OL'!$F$4:$F$200,B26))</x:f>
      </x:c>
      <x:c r="O26" s="75" t="str">
        <x:f>IF($C26="","",SUMIFS('Input_OL'!$G$4:$G$200,'Input_OL'!$C$4:$C$200,C26,'Input_OL'!$F$4:$F$200,B26))</x:f>
      </x:c>
      <x:c r="P26" s="75" t="str">
        <x:f>IF($C26="","",IF(N26=0,"확인필요",IF(ABS(M26-N26)/N26&lt;=0.2,"정상","Rule초과")))</x:f>
      </x:c>
      <x:c r="Q26" s="75" t="str">
        <x:f>IF($C26="","",IF(O26=0,"확인필요",IF(ABS(M26-O26)/O26&lt;=0.3,"정상","Rule초과")))</x:f>
      </x:c>
      <x:c r="R26" s="75" t="str">
        <x:f>IF($C26="","",M26)</x:f>
      </x:c>
      <x:c r="S26" s="75" t="str">
        <x:f>IF($C26="","",R26*SUMIFS('Master_Rules'!$J$4:$J$200,'Master_Rules'!$D$4:$D$200,C26))</x:f>
      </x:c>
      <x:c r="T26" s="72" t="str">
        <x:f>IF($C26="","",IF(OR(P26="Rule초과",Q26="Rule초과"),"Flex 확인",IF(R26&gt;J26,"MOQ 조정","정상")))</x:f>
      </x:c>
    </x:row>
    <x:row r="27">
      <x:c r="A27" s="71"/>
      <x:c r="B27" s="71"/>
      <x:c r="C27" s="72"/>
      <x:c r="D27" s="72"/>
      <x:c r="E27" s="72"/>
      <x:c r="F27" s="75" t="str">
        <x:f>IF($C27="","",SUMIFS('Input_OL'!$K$4:$K$200,'Input_OL'!$C$4:$C$200,C27,'Input_OL'!$F$4:$F$200,B27))</x:f>
      </x:c>
      <x:c r="G27" s="75" t="str">
        <x:f>IF($C27="","",SUMIFS('Input_Inventory'!$G$4:$G$200,'Input_Inventory'!$C$4:$C$200,C27))</x:f>
      </x:c>
      <x:c r="H27" s="75" t="str">
        <x:f>IF($C27="","",SUMIFS('Input_Inventory'!$L$4:$L$200,'Input_Inventory'!$C$4:$C$200,C27,'Input_Inventory'!$F$4:$F$200,B27))</x:f>
      </x:c>
      <x:c r="I27" s="75" t="str">
        <x:f>IF($C27="","",G27+H27)</x:f>
      </x:c>
      <x:c r="J27" s="75" t="str">
        <x:f>IF($C27="","",MAX(0,F27-I27))</x:f>
      </x:c>
      <x:c r="K27" s="75" t="str">
        <x:f>IF($C27="","",SUMIFS('Master_Rules'!$G$4:$G$200,'Master_Rules'!$D$4:$D$200,C27))</x:f>
      </x:c>
      <x:c r="L27" s="75" t="str">
        <x:f>IF($C27="","",SUMIFS('Master_Rules'!$H$4:$H$200,'Master_Rules'!$D$4:$D$200,C27))</x:f>
      </x:c>
      <x:c r="M27" s="75" t="str">
        <x:f>IF($C27="","",IF(K27=0,J27,MAX(K27,CEILING(J27,L27))))</x:f>
      </x:c>
      <x:c r="N27" s="75" t="str">
        <x:f>IF($C27="","",SUMIFS('Input_OL'!$G$4:$G$200,'Input_OL'!$C$4:$C$200,C27,'Input_OL'!$F$4:$F$200,B27))</x:f>
      </x:c>
      <x:c r="O27" s="75" t="str">
        <x:f>IF($C27="","",SUMIFS('Input_OL'!$G$4:$G$200,'Input_OL'!$C$4:$C$200,C27,'Input_OL'!$F$4:$F$200,B27))</x:f>
      </x:c>
      <x:c r="P27" s="75" t="str">
        <x:f>IF($C27="","",IF(N27=0,"확인필요",IF(ABS(M27-N27)/N27&lt;=0.2,"정상","Rule초과")))</x:f>
      </x:c>
      <x:c r="Q27" s="75" t="str">
        <x:f>IF($C27="","",IF(O27=0,"확인필요",IF(ABS(M27-O27)/O27&lt;=0.3,"정상","Rule초과")))</x:f>
      </x:c>
      <x:c r="R27" s="75" t="str">
        <x:f>IF($C27="","",M27)</x:f>
      </x:c>
      <x:c r="S27" s="75" t="str">
        <x:f>IF($C27="","",R27*SUMIFS('Master_Rules'!$J$4:$J$200,'Master_Rules'!$D$4:$D$200,C27))</x:f>
      </x:c>
      <x:c r="T27" s="72" t="str">
        <x:f>IF($C27="","",IF(OR(P27="Rule초과",Q27="Rule초과"),"Flex 확인",IF(R27&gt;J27,"MOQ 조정","정상")))</x:f>
      </x:c>
    </x:row>
    <x:row r="28">
      <x:c r="A28" s="71"/>
      <x:c r="B28" s="71"/>
      <x:c r="C28" s="72"/>
      <x:c r="D28" s="72"/>
      <x:c r="E28" s="72"/>
      <x:c r="F28" s="75" t="str">
        <x:f>IF($C28="","",SUMIFS('Input_OL'!$K$4:$K$200,'Input_OL'!$C$4:$C$200,C28,'Input_OL'!$F$4:$F$200,B28))</x:f>
      </x:c>
      <x:c r="G28" s="75" t="str">
        <x:f>IF($C28="","",SUMIFS('Input_Inventory'!$G$4:$G$200,'Input_Inventory'!$C$4:$C$200,C28))</x:f>
      </x:c>
      <x:c r="H28" s="75" t="str">
        <x:f>IF($C28="","",SUMIFS('Input_Inventory'!$L$4:$L$200,'Input_Inventory'!$C$4:$C$200,C28,'Input_Inventory'!$F$4:$F$200,B28))</x:f>
      </x:c>
      <x:c r="I28" s="75" t="str">
        <x:f>IF($C28="","",G28+H28)</x:f>
      </x:c>
      <x:c r="J28" s="75" t="str">
        <x:f>IF($C28="","",MAX(0,F28-I28))</x:f>
      </x:c>
      <x:c r="K28" s="75" t="str">
        <x:f>IF($C28="","",SUMIFS('Master_Rules'!$G$4:$G$200,'Master_Rules'!$D$4:$D$200,C28))</x:f>
      </x:c>
      <x:c r="L28" s="75" t="str">
        <x:f>IF($C28="","",SUMIFS('Master_Rules'!$H$4:$H$200,'Master_Rules'!$D$4:$D$200,C28))</x:f>
      </x:c>
      <x:c r="M28" s="75" t="str">
        <x:f>IF($C28="","",IF(K28=0,J28,MAX(K28,CEILING(J28,L28))))</x:f>
      </x:c>
      <x:c r="N28" s="75" t="str">
        <x:f>IF($C28="","",SUMIFS('Input_OL'!$G$4:$G$200,'Input_OL'!$C$4:$C$200,C28,'Input_OL'!$F$4:$F$200,B28))</x:f>
      </x:c>
      <x:c r="O28" s="75" t="str">
        <x:f>IF($C28="","",SUMIFS('Input_OL'!$G$4:$G$200,'Input_OL'!$C$4:$C$200,C28,'Input_OL'!$F$4:$F$200,B28))</x:f>
      </x:c>
      <x:c r="P28" s="75" t="str">
        <x:f>IF($C28="","",IF(N28=0,"확인필요",IF(ABS(M28-N28)/N28&lt;=0.2,"정상","Rule초과")))</x:f>
      </x:c>
      <x:c r="Q28" s="75" t="str">
        <x:f>IF($C28="","",IF(O28=0,"확인필요",IF(ABS(M28-O28)/O28&lt;=0.3,"정상","Rule초과")))</x:f>
      </x:c>
      <x:c r="R28" s="75" t="str">
        <x:f>IF($C28="","",M28)</x:f>
      </x:c>
      <x:c r="S28" s="75" t="str">
        <x:f>IF($C28="","",R28*SUMIFS('Master_Rules'!$J$4:$J$200,'Master_Rules'!$D$4:$D$200,C28))</x:f>
      </x:c>
      <x:c r="T28" s="72" t="str">
        <x:f>IF($C28="","",IF(OR(P28="Rule초과",Q28="Rule초과"),"Flex 확인",IF(R28&gt;J28,"MOQ 조정","정상")))</x:f>
      </x:c>
    </x:row>
    <x:row r="29">
      <x:c r="A29" s="71"/>
      <x:c r="B29" s="71"/>
      <x:c r="C29" s="72"/>
      <x:c r="D29" s="72"/>
      <x:c r="E29" s="72"/>
      <x:c r="F29" s="75" t="str">
        <x:f>IF($C29="","",SUMIFS('Input_OL'!$K$4:$K$200,'Input_OL'!$C$4:$C$200,C29,'Input_OL'!$F$4:$F$200,B29))</x:f>
      </x:c>
      <x:c r="G29" s="75" t="str">
        <x:f>IF($C29="","",SUMIFS('Input_Inventory'!$G$4:$G$200,'Input_Inventory'!$C$4:$C$200,C29))</x:f>
      </x:c>
      <x:c r="H29" s="75" t="str">
        <x:f>IF($C29="","",SUMIFS('Input_Inventory'!$L$4:$L$200,'Input_Inventory'!$C$4:$C$200,C29,'Input_Inventory'!$F$4:$F$200,B29))</x:f>
      </x:c>
      <x:c r="I29" s="75" t="str">
        <x:f>IF($C29="","",G29+H29)</x:f>
      </x:c>
      <x:c r="J29" s="75" t="str">
        <x:f>IF($C29="","",MAX(0,F29-I29))</x:f>
      </x:c>
      <x:c r="K29" s="75" t="str">
        <x:f>IF($C29="","",SUMIFS('Master_Rules'!$G$4:$G$200,'Master_Rules'!$D$4:$D$200,C29))</x:f>
      </x:c>
      <x:c r="L29" s="75" t="str">
        <x:f>IF($C29="","",SUMIFS('Master_Rules'!$H$4:$H$200,'Master_Rules'!$D$4:$D$200,C29))</x:f>
      </x:c>
      <x:c r="M29" s="75" t="str">
        <x:f>IF($C29="","",IF(K29=0,J29,MAX(K29,CEILING(J29,L29))))</x:f>
      </x:c>
      <x:c r="N29" s="75" t="str">
        <x:f>IF($C29="","",SUMIFS('Input_OL'!$G$4:$G$200,'Input_OL'!$C$4:$C$200,C29,'Input_OL'!$F$4:$F$200,B29))</x:f>
      </x:c>
      <x:c r="O29" s="75" t="str">
        <x:f>IF($C29="","",SUMIFS('Input_OL'!$G$4:$G$200,'Input_OL'!$C$4:$C$200,C29,'Input_OL'!$F$4:$F$200,B29))</x:f>
      </x:c>
      <x:c r="P29" s="75" t="str">
        <x:f>IF($C29="","",IF(N29=0,"확인필요",IF(ABS(M29-N29)/N29&lt;=0.2,"정상","Rule초과")))</x:f>
      </x:c>
      <x:c r="Q29" s="75" t="str">
        <x:f>IF($C29="","",IF(O29=0,"확인필요",IF(ABS(M29-O29)/O29&lt;=0.3,"정상","Rule초과")))</x:f>
      </x:c>
      <x:c r="R29" s="75" t="str">
        <x:f>IF($C29="","",M29)</x:f>
      </x:c>
      <x:c r="S29" s="75" t="str">
        <x:f>IF($C29="","",R29*SUMIFS('Master_Rules'!$J$4:$J$200,'Master_Rules'!$D$4:$D$200,C29))</x:f>
      </x:c>
      <x:c r="T29" s="72" t="str">
        <x:f>IF($C29="","",IF(OR(P29="Rule초과",Q29="Rule초과"),"Flex 확인",IF(R29&gt;J29,"MOQ 조정","정상")))</x:f>
      </x:c>
    </x:row>
    <x:row r="30">
      <x:c r="A30" s="71"/>
      <x:c r="B30" s="71"/>
      <x:c r="C30" s="72"/>
      <x:c r="D30" s="72"/>
      <x:c r="E30" s="72"/>
      <x:c r="F30" s="75" t="str">
        <x:f>IF($C30="","",SUMIFS('Input_OL'!$K$4:$K$200,'Input_OL'!$C$4:$C$200,C30,'Input_OL'!$F$4:$F$200,B30))</x:f>
      </x:c>
      <x:c r="G30" s="75" t="str">
        <x:f>IF($C30="","",SUMIFS('Input_Inventory'!$G$4:$G$200,'Input_Inventory'!$C$4:$C$200,C30))</x:f>
      </x:c>
      <x:c r="H30" s="75" t="str">
        <x:f>IF($C30="","",SUMIFS('Input_Inventory'!$L$4:$L$200,'Input_Inventory'!$C$4:$C$200,C30,'Input_Inventory'!$F$4:$F$200,B30))</x:f>
      </x:c>
      <x:c r="I30" s="75" t="str">
        <x:f>IF($C30="","",G30+H30)</x:f>
      </x:c>
      <x:c r="J30" s="75" t="str">
        <x:f>IF($C30="","",MAX(0,F30-I30))</x:f>
      </x:c>
      <x:c r="K30" s="75" t="str">
        <x:f>IF($C30="","",SUMIFS('Master_Rules'!$G$4:$G$200,'Master_Rules'!$D$4:$D$200,C30))</x:f>
      </x:c>
      <x:c r="L30" s="75" t="str">
        <x:f>IF($C30="","",SUMIFS('Master_Rules'!$H$4:$H$200,'Master_Rules'!$D$4:$D$200,C30))</x:f>
      </x:c>
      <x:c r="M30" s="75" t="str">
        <x:f>IF($C30="","",IF(K30=0,J30,MAX(K30,CEILING(J30,L30))))</x:f>
      </x:c>
      <x:c r="N30" s="75" t="str">
        <x:f>IF($C30="","",SUMIFS('Input_OL'!$G$4:$G$200,'Input_OL'!$C$4:$C$200,C30,'Input_OL'!$F$4:$F$200,B30))</x:f>
      </x:c>
      <x:c r="O30" s="75" t="str">
        <x:f>IF($C30="","",SUMIFS('Input_OL'!$G$4:$G$200,'Input_OL'!$C$4:$C$200,C30,'Input_OL'!$F$4:$F$200,B30))</x:f>
      </x:c>
      <x:c r="P30" s="75" t="str">
        <x:f>IF($C30="","",IF(N30=0,"확인필요",IF(ABS(M30-N30)/N30&lt;=0.2,"정상","Rule초과")))</x:f>
      </x:c>
      <x:c r="Q30" s="75" t="str">
        <x:f>IF($C30="","",IF(O30=0,"확인필요",IF(ABS(M30-O30)/O30&lt;=0.3,"정상","Rule초과")))</x:f>
      </x:c>
      <x:c r="R30" s="75" t="str">
        <x:f>IF($C30="","",M30)</x:f>
      </x:c>
      <x:c r="S30" s="75" t="str">
        <x:f>IF($C30="","",R30*SUMIFS('Master_Rules'!$J$4:$J$200,'Master_Rules'!$D$4:$D$200,C30))</x:f>
      </x:c>
      <x:c r="T30" s="72" t="str">
        <x:f>IF($C30="","",IF(OR(P30="Rule초과",Q30="Rule초과"),"Flex 확인",IF(R30&gt;J30,"MOQ 조정","정상")))</x:f>
      </x:c>
    </x:row>
    <x:row r="31">
      <x:c r="A31" s="71"/>
      <x:c r="B31" s="71"/>
      <x:c r="C31" s="72"/>
      <x:c r="D31" s="72"/>
      <x:c r="E31" s="72"/>
      <x:c r="F31" s="75" t="str">
        <x:f>IF($C31="","",SUMIFS('Input_OL'!$K$4:$K$200,'Input_OL'!$C$4:$C$200,C31,'Input_OL'!$F$4:$F$200,B31))</x:f>
      </x:c>
      <x:c r="G31" s="75" t="str">
        <x:f>IF($C31="","",SUMIFS('Input_Inventory'!$G$4:$G$200,'Input_Inventory'!$C$4:$C$200,C31))</x:f>
      </x:c>
      <x:c r="H31" s="75" t="str">
        <x:f>IF($C31="","",SUMIFS('Input_Inventory'!$L$4:$L$200,'Input_Inventory'!$C$4:$C$200,C31,'Input_Inventory'!$F$4:$F$200,B31))</x:f>
      </x:c>
      <x:c r="I31" s="75" t="str">
        <x:f>IF($C31="","",G31+H31)</x:f>
      </x:c>
      <x:c r="J31" s="75" t="str">
        <x:f>IF($C31="","",MAX(0,F31-I31))</x:f>
      </x:c>
      <x:c r="K31" s="75" t="str">
        <x:f>IF($C31="","",SUMIFS('Master_Rules'!$G$4:$G$200,'Master_Rules'!$D$4:$D$200,C31))</x:f>
      </x:c>
      <x:c r="L31" s="75" t="str">
        <x:f>IF($C31="","",SUMIFS('Master_Rules'!$H$4:$H$200,'Master_Rules'!$D$4:$D$200,C31))</x:f>
      </x:c>
      <x:c r="M31" s="75" t="str">
        <x:f>IF($C31="","",IF(K31=0,J31,MAX(K31,CEILING(J31,L31))))</x:f>
      </x:c>
      <x:c r="N31" s="75" t="str">
        <x:f>IF($C31="","",SUMIFS('Input_OL'!$G$4:$G$200,'Input_OL'!$C$4:$C$200,C31,'Input_OL'!$F$4:$F$200,B31))</x:f>
      </x:c>
      <x:c r="O31" s="75" t="str">
        <x:f>IF($C31="","",SUMIFS('Input_OL'!$G$4:$G$200,'Input_OL'!$C$4:$C$200,C31,'Input_OL'!$F$4:$F$200,B31))</x:f>
      </x:c>
      <x:c r="P31" s="75" t="str">
        <x:f>IF($C31="","",IF(N31=0,"확인필요",IF(ABS(M31-N31)/N31&lt;=0.2,"정상","Rule초과")))</x:f>
      </x:c>
      <x:c r="Q31" s="75" t="str">
        <x:f>IF($C31="","",IF(O31=0,"확인필요",IF(ABS(M31-O31)/O31&lt;=0.3,"정상","Rule초과")))</x:f>
      </x:c>
      <x:c r="R31" s="75" t="str">
        <x:f>IF($C31="","",M31)</x:f>
      </x:c>
      <x:c r="S31" s="75" t="str">
        <x:f>IF($C31="","",R31*SUMIFS('Master_Rules'!$J$4:$J$200,'Master_Rules'!$D$4:$D$200,C31))</x:f>
      </x:c>
      <x:c r="T31" s="72" t="str">
        <x:f>IF($C31="","",IF(OR(P31="Rule초과",Q31="Rule초과"),"Flex 확인",IF(R31&gt;J31,"MOQ 조정","정상")))</x:f>
      </x:c>
    </x:row>
    <x:row r="32">
      <x:c r="A32" s="71"/>
      <x:c r="B32" s="71"/>
      <x:c r="C32" s="72"/>
      <x:c r="D32" s="72"/>
      <x:c r="E32" s="72"/>
      <x:c r="F32" s="75" t="str">
        <x:f>IF($C32="","",SUMIFS('Input_OL'!$K$4:$K$200,'Input_OL'!$C$4:$C$200,C32,'Input_OL'!$F$4:$F$200,B32))</x:f>
      </x:c>
      <x:c r="G32" s="75" t="str">
        <x:f>IF($C32="","",SUMIFS('Input_Inventory'!$G$4:$G$200,'Input_Inventory'!$C$4:$C$200,C32))</x:f>
      </x:c>
      <x:c r="H32" s="75" t="str">
        <x:f>IF($C32="","",SUMIFS('Input_Inventory'!$L$4:$L$200,'Input_Inventory'!$C$4:$C$200,C32,'Input_Inventory'!$F$4:$F$200,B32))</x:f>
      </x:c>
      <x:c r="I32" s="75" t="str">
        <x:f>IF($C32="","",G32+H32)</x:f>
      </x:c>
      <x:c r="J32" s="75" t="str">
        <x:f>IF($C32="","",MAX(0,F32-I32))</x:f>
      </x:c>
      <x:c r="K32" s="75" t="str">
        <x:f>IF($C32="","",SUMIFS('Master_Rules'!$G$4:$G$200,'Master_Rules'!$D$4:$D$200,C32))</x:f>
      </x:c>
      <x:c r="L32" s="75" t="str">
        <x:f>IF($C32="","",SUMIFS('Master_Rules'!$H$4:$H$200,'Master_Rules'!$D$4:$D$200,C32))</x:f>
      </x:c>
      <x:c r="M32" s="75" t="str">
        <x:f>IF($C32="","",IF(K32=0,J32,MAX(K32,CEILING(J32,L32))))</x:f>
      </x:c>
      <x:c r="N32" s="75" t="str">
        <x:f>IF($C32="","",SUMIFS('Input_OL'!$G$4:$G$200,'Input_OL'!$C$4:$C$200,C32,'Input_OL'!$F$4:$F$200,B32))</x:f>
      </x:c>
      <x:c r="O32" s="75" t="str">
        <x:f>IF($C32="","",SUMIFS('Input_OL'!$G$4:$G$200,'Input_OL'!$C$4:$C$200,C32,'Input_OL'!$F$4:$F$200,B32))</x:f>
      </x:c>
      <x:c r="P32" s="75" t="str">
        <x:f>IF($C32="","",IF(N32=0,"확인필요",IF(ABS(M32-N32)/N32&lt;=0.2,"정상","Rule초과")))</x:f>
      </x:c>
      <x:c r="Q32" s="75" t="str">
        <x:f>IF($C32="","",IF(O32=0,"확인필요",IF(ABS(M32-O32)/O32&lt;=0.3,"정상","Rule초과")))</x:f>
      </x:c>
      <x:c r="R32" s="75" t="str">
        <x:f>IF($C32="","",M32)</x:f>
      </x:c>
      <x:c r="S32" s="75" t="str">
        <x:f>IF($C32="","",R32*SUMIFS('Master_Rules'!$J$4:$J$200,'Master_Rules'!$D$4:$D$200,C32))</x:f>
      </x:c>
      <x:c r="T32" s="72" t="str">
        <x:f>IF($C32="","",IF(OR(P32="Rule초과",Q32="Rule초과"),"Flex 확인",IF(R32&gt;J32,"MOQ 조정","정상")))</x:f>
      </x:c>
    </x:row>
    <x:row r="33">
      <x:c r="A33" s="71"/>
      <x:c r="B33" s="71"/>
      <x:c r="C33" s="72"/>
      <x:c r="D33" s="72"/>
      <x:c r="E33" s="72"/>
      <x:c r="F33" s="75" t="str">
        <x:f>IF($C33="","",SUMIFS('Input_OL'!$K$4:$K$200,'Input_OL'!$C$4:$C$200,C33,'Input_OL'!$F$4:$F$200,B33))</x:f>
      </x:c>
      <x:c r="G33" s="75" t="str">
        <x:f>IF($C33="","",SUMIFS('Input_Inventory'!$G$4:$G$200,'Input_Inventory'!$C$4:$C$200,C33))</x:f>
      </x:c>
      <x:c r="H33" s="75" t="str">
        <x:f>IF($C33="","",SUMIFS('Input_Inventory'!$L$4:$L$200,'Input_Inventory'!$C$4:$C$200,C33,'Input_Inventory'!$F$4:$F$200,B33))</x:f>
      </x:c>
      <x:c r="I33" s="75" t="str">
        <x:f>IF($C33="","",G33+H33)</x:f>
      </x:c>
      <x:c r="J33" s="75" t="str">
        <x:f>IF($C33="","",MAX(0,F33-I33))</x:f>
      </x:c>
      <x:c r="K33" s="75" t="str">
        <x:f>IF($C33="","",SUMIFS('Master_Rules'!$G$4:$G$200,'Master_Rules'!$D$4:$D$200,C33))</x:f>
      </x:c>
      <x:c r="L33" s="75" t="str">
        <x:f>IF($C33="","",SUMIFS('Master_Rules'!$H$4:$H$200,'Master_Rules'!$D$4:$D$200,C33))</x:f>
      </x:c>
      <x:c r="M33" s="75" t="str">
        <x:f>IF($C33="","",IF(K33=0,J33,MAX(K33,CEILING(J33,L33))))</x:f>
      </x:c>
      <x:c r="N33" s="75" t="str">
        <x:f>IF($C33="","",SUMIFS('Input_OL'!$G$4:$G$200,'Input_OL'!$C$4:$C$200,C33,'Input_OL'!$F$4:$F$200,B33))</x:f>
      </x:c>
      <x:c r="O33" s="75" t="str">
        <x:f>IF($C33="","",SUMIFS('Input_OL'!$G$4:$G$200,'Input_OL'!$C$4:$C$200,C33,'Input_OL'!$F$4:$F$200,B33))</x:f>
      </x:c>
      <x:c r="P33" s="75" t="str">
        <x:f>IF($C33="","",IF(N33=0,"확인필요",IF(ABS(M33-N33)/N33&lt;=0.2,"정상","Rule초과")))</x:f>
      </x:c>
      <x:c r="Q33" s="75" t="str">
        <x:f>IF($C33="","",IF(O33=0,"확인필요",IF(ABS(M33-O33)/O33&lt;=0.3,"정상","Rule초과")))</x:f>
      </x:c>
      <x:c r="R33" s="75" t="str">
        <x:f>IF($C33="","",M33)</x:f>
      </x:c>
      <x:c r="S33" s="75" t="str">
        <x:f>IF($C33="","",R33*SUMIFS('Master_Rules'!$J$4:$J$200,'Master_Rules'!$D$4:$D$200,C33))</x:f>
      </x:c>
      <x:c r="T33" s="72" t="str">
        <x:f>IF($C33="","",IF(OR(P33="Rule초과",Q33="Rule초과"),"Flex 확인",IF(R33&gt;J33,"MOQ 조정","정상")))</x:f>
      </x:c>
    </x:row>
    <x:row r="34">
      <x:c r="A34" s="71"/>
      <x:c r="B34" s="71"/>
      <x:c r="C34" s="72"/>
      <x:c r="D34" s="72"/>
      <x:c r="E34" s="72"/>
      <x:c r="F34" s="75" t="str">
        <x:f>IF($C34="","",SUMIFS('Input_OL'!$K$4:$K$200,'Input_OL'!$C$4:$C$200,C34,'Input_OL'!$F$4:$F$200,B34))</x:f>
      </x:c>
      <x:c r="G34" s="75" t="str">
        <x:f>IF($C34="","",SUMIFS('Input_Inventory'!$G$4:$G$200,'Input_Inventory'!$C$4:$C$200,C34))</x:f>
      </x:c>
      <x:c r="H34" s="75" t="str">
        <x:f>IF($C34="","",SUMIFS('Input_Inventory'!$L$4:$L$200,'Input_Inventory'!$C$4:$C$200,C34,'Input_Inventory'!$F$4:$F$200,B34))</x:f>
      </x:c>
      <x:c r="I34" s="75" t="str">
        <x:f>IF($C34="","",G34+H34)</x:f>
      </x:c>
      <x:c r="J34" s="75" t="str">
        <x:f>IF($C34="","",MAX(0,F34-I34))</x:f>
      </x:c>
      <x:c r="K34" s="75" t="str">
        <x:f>IF($C34="","",SUMIFS('Master_Rules'!$G$4:$G$200,'Master_Rules'!$D$4:$D$200,C34))</x:f>
      </x:c>
      <x:c r="L34" s="75" t="str">
        <x:f>IF($C34="","",SUMIFS('Master_Rules'!$H$4:$H$200,'Master_Rules'!$D$4:$D$200,C34))</x:f>
      </x:c>
      <x:c r="M34" s="75" t="str">
        <x:f>IF($C34="","",IF(K34=0,J34,MAX(K34,CEILING(J34,L34))))</x:f>
      </x:c>
      <x:c r="N34" s="75" t="str">
        <x:f>IF($C34="","",SUMIFS('Input_OL'!$G$4:$G$200,'Input_OL'!$C$4:$C$200,C34,'Input_OL'!$F$4:$F$200,B34))</x:f>
      </x:c>
      <x:c r="O34" s="75" t="str">
        <x:f>IF($C34="","",SUMIFS('Input_OL'!$G$4:$G$200,'Input_OL'!$C$4:$C$200,C34,'Input_OL'!$F$4:$F$200,B34))</x:f>
      </x:c>
      <x:c r="P34" s="75" t="str">
        <x:f>IF($C34="","",IF(N34=0,"확인필요",IF(ABS(M34-N34)/N34&lt;=0.2,"정상","Rule초과")))</x:f>
      </x:c>
      <x:c r="Q34" s="75" t="str">
        <x:f>IF($C34="","",IF(O34=0,"확인필요",IF(ABS(M34-O34)/O34&lt;=0.3,"정상","Rule초과")))</x:f>
      </x:c>
      <x:c r="R34" s="75" t="str">
        <x:f>IF($C34="","",M34)</x:f>
      </x:c>
      <x:c r="S34" s="75" t="str">
        <x:f>IF($C34="","",R34*SUMIFS('Master_Rules'!$J$4:$J$200,'Master_Rules'!$D$4:$D$200,C34))</x:f>
      </x:c>
      <x:c r="T34" s="72" t="str">
        <x:f>IF($C34="","",IF(OR(P34="Rule초과",Q34="Rule초과"),"Flex 확인",IF(R34&gt;J34,"MOQ 조정","정상")))</x:f>
      </x:c>
    </x:row>
    <x:row r="35">
      <x:c r="A35" s="71"/>
      <x:c r="B35" s="71"/>
      <x:c r="C35" s="72"/>
      <x:c r="D35" s="72"/>
      <x:c r="E35" s="72"/>
      <x:c r="F35" s="75" t="str">
        <x:f>IF($C35="","",SUMIFS('Input_OL'!$K$4:$K$200,'Input_OL'!$C$4:$C$200,C35,'Input_OL'!$F$4:$F$200,B35))</x:f>
      </x:c>
      <x:c r="G35" s="75" t="str">
        <x:f>IF($C35="","",SUMIFS('Input_Inventory'!$G$4:$G$200,'Input_Inventory'!$C$4:$C$200,C35))</x:f>
      </x:c>
      <x:c r="H35" s="75" t="str">
        <x:f>IF($C35="","",SUMIFS('Input_Inventory'!$L$4:$L$200,'Input_Inventory'!$C$4:$C$200,C35,'Input_Inventory'!$F$4:$F$200,B35))</x:f>
      </x:c>
      <x:c r="I35" s="75" t="str">
        <x:f>IF($C35="","",G35+H35)</x:f>
      </x:c>
      <x:c r="J35" s="75" t="str">
        <x:f>IF($C35="","",MAX(0,F35-I35))</x:f>
      </x:c>
      <x:c r="K35" s="75" t="str">
        <x:f>IF($C35="","",SUMIFS('Master_Rules'!$G$4:$G$200,'Master_Rules'!$D$4:$D$200,C35))</x:f>
      </x:c>
      <x:c r="L35" s="75" t="str">
        <x:f>IF($C35="","",SUMIFS('Master_Rules'!$H$4:$H$200,'Master_Rules'!$D$4:$D$200,C35))</x:f>
      </x:c>
      <x:c r="M35" s="75" t="str">
        <x:f>IF($C35="","",IF(K35=0,J35,MAX(K35,CEILING(J35,L35))))</x:f>
      </x:c>
      <x:c r="N35" s="75" t="str">
        <x:f>IF($C35="","",SUMIFS('Input_OL'!$G$4:$G$200,'Input_OL'!$C$4:$C$200,C35,'Input_OL'!$F$4:$F$200,B35))</x:f>
      </x:c>
      <x:c r="O35" s="75" t="str">
        <x:f>IF($C35="","",SUMIFS('Input_OL'!$G$4:$G$200,'Input_OL'!$C$4:$C$200,C35,'Input_OL'!$F$4:$F$200,B35))</x:f>
      </x:c>
      <x:c r="P35" s="75" t="str">
        <x:f>IF($C35="","",IF(N35=0,"확인필요",IF(ABS(M35-N35)/N35&lt;=0.2,"정상","Rule초과")))</x:f>
      </x:c>
      <x:c r="Q35" s="75" t="str">
        <x:f>IF($C35="","",IF(O35=0,"확인필요",IF(ABS(M35-O35)/O35&lt;=0.3,"정상","Rule초과")))</x:f>
      </x:c>
      <x:c r="R35" s="75" t="str">
        <x:f>IF($C35="","",M35)</x:f>
      </x:c>
      <x:c r="S35" s="75" t="str">
        <x:f>IF($C35="","",R35*SUMIFS('Master_Rules'!$J$4:$J$200,'Master_Rules'!$D$4:$D$200,C35))</x:f>
      </x:c>
      <x:c r="T35" s="72" t="str">
        <x:f>IF($C35="","",IF(OR(P35="Rule초과",Q35="Rule초과"),"Flex 확인",IF(R35&gt;J35,"MOQ 조정","정상")))</x:f>
      </x:c>
    </x:row>
    <x:row r="36">
      <x:c r="A36" s="71"/>
      <x:c r="B36" s="71"/>
      <x:c r="C36" s="72"/>
      <x:c r="D36" s="72"/>
      <x:c r="E36" s="72"/>
      <x:c r="F36" s="75" t="str">
        <x:f>IF($C36="","",SUMIFS('Input_OL'!$K$4:$K$200,'Input_OL'!$C$4:$C$200,C36,'Input_OL'!$F$4:$F$200,B36))</x:f>
      </x:c>
      <x:c r="G36" s="75" t="str">
        <x:f>IF($C36="","",SUMIFS('Input_Inventory'!$G$4:$G$200,'Input_Inventory'!$C$4:$C$200,C36))</x:f>
      </x:c>
      <x:c r="H36" s="75" t="str">
        <x:f>IF($C36="","",SUMIFS('Input_Inventory'!$L$4:$L$200,'Input_Inventory'!$C$4:$C$200,C36,'Input_Inventory'!$F$4:$F$200,B36))</x:f>
      </x:c>
      <x:c r="I36" s="75" t="str">
        <x:f>IF($C36="","",G36+H36)</x:f>
      </x:c>
      <x:c r="J36" s="75" t="str">
        <x:f>IF($C36="","",MAX(0,F36-I36))</x:f>
      </x:c>
      <x:c r="K36" s="75" t="str">
        <x:f>IF($C36="","",SUMIFS('Master_Rules'!$G$4:$G$200,'Master_Rules'!$D$4:$D$200,C36))</x:f>
      </x:c>
      <x:c r="L36" s="75" t="str">
        <x:f>IF($C36="","",SUMIFS('Master_Rules'!$H$4:$H$200,'Master_Rules'!$D$4:$D$200,C36))</x:f>
      </x:c>
      <x:c r="M36" s="75" t="str">
        <x:f>IF($C36="","",IF(K36=0,J36,MAX(K36,CEILING(J36,L36))))</x:f>
      </x:c>
      <x:c r="N36" s="75" t="str">
        <x:f>IF($C36="","",SUMIFS('Input_OL'!$G$4:$G$200,'Input_OL'!$C$4:$C$200,C36,'Input_OL'!$F$4:$F$200,B36))</x:f>
      </x:c>
      <x:c r="O36" s="75" t="str">
        <x:f>IF($C36="","",SUMIFS('Input_OL'!$G$4:$G$200,'Input_OL'!$C$4:$C$200,C36,'Input_OL'!$F$4:$F$200,B36))</x:f>
      </x:c>
      <x:c r="P36" s="75" t="str">
        <x:f>IF($C36="","",IF(N36=0,"확인필요",IF(ABS(M36-N36)/N36&lt;=0.2,"정상","Rule초과")))</x:f>
      </x:c>
      <x:c r="Q36" s="75" t="str">
        <x:f>IF($C36="","",IF(O36=0,"확인필요",IF(ABS(M36-O36)/O36&lt;=0.3,"정상","Rule초과")))</x:f>
      </x:c>
      <x:c r="R36" s="75" t="str">
        <x:f>IF($C36="","",M36)</x:f>
      </x:c>
      <x:c r="S36" s="75" t="str">
        <x:f>IF($C36="","",R36*SUMIFS('Master_Rules'!$J$4:$J$200,'Master_Rules'!$D$4:$D$200,C36))</x:f>
      </x:c>
      <x:c r="T36" s="72" t="str">
        <x:f>IF($C36="","",IF(OR(P36="Rule초과",Q36="Rule초과"),"Flex 확인",IF(R36&gt;J36,"MOQ 조정","정상")))</x:f>
      </x:c>
    </x:row>
    <x:row r="37">
      <x:c r="A37" s="71"/>
      <x:c r="B37" s="71"/>
      <x:c r="C37" s="72"/>
      <x:c r="D37" s="72"/>
      <x:c r="E37" s="72"/>
      <x:c r="F37" s="75" t="str">
        <x:f>IF($C37="","",SUMIFS('Input_OL'!$K$4:$K$200,'Input_OL'!$C$4:$C$200,C37,'Input_OL'!$F$4:$F$200,B37))</x:f>
      </x:c>
      <x:c r="G37" s="75" t="str">
        <x:f>IF($C37="","",SUMIFS('Input_Inventory'!$G$4:$G$200,'Input_Inventory'!$C$4:$C$200,C37))</x:f>
      </x:c>
      <x:c r="H37" s="75" t="str">
        <x:f>IF($C37="","",SUMIFS('Input_Inventory'!$L$4:$L$200,'Input_Inventory'!$C$4:$C$200,C37,'Input_Inventory'!$F$4:$F$200,B37))</x:f>
      </x:c>
      <x:c r="I37" s="75" t="str">
        <x:f>IF($C37="","",G37+H37)</x:f>
      </x:c>
      <x:c r="J37" s="75" t="str">
        <x:f>IF($C37="","",MAX(0,F37-I37))</x:f>
      </x:c>
      <x:c r="K37" s="75" t="str">
        <x:f>IF($C37="","",SUMIFS('Master_Rules'!$G$4:$G$200,'Master_Rules'!$D$4:$D$200,C37))</x:f>
      </x:c>
      <x:c r="L37" s="75" t="str">
        <x:f>IF($C37="","",SUMIFS('Master_Rules'!$H$4:$H$200,'Master_Rules'!$D$4:$D$200,C37))</x:f>
      </x:c>
      <x:c r="M37" s="75" t="str">
        <x:f>IF($C37="","",IF(K37=0,J37,MAX(K37,CEILING(J37,L37))))</x:f>
      </x:c>
      <x:c r="N37" s="75" t="str">
        <x:f>IF($C37="","",SUMIFS('Input_OL'!$G$4:$G$200,'Input_OL'!$C$4:$C$200,C37,'Input_OL'!$F$4:$F$200,B37))</x:f>
      </x:c>
      <x:c r="O37" s="75" t="str">
        <x:f>IF($C37="","",SUMIFS('Input_OL'!$G$4:$G$200,'Input_OL'!$C$4:$C$200,C37,'Input_OL'!$F$4:$F$200,B37))</x:f>
      </x:c>
      <x:c r="P37" s="75" t="str">
        <x:f>IF($C37="","",IF(N37=0,"확인필요",IF(ABS(M37-N37)/N37&lt;=0.2,"정상","Rule초과")))</x:f>
      </x:c>
      <x:c r="Q37" s="75" t="str">
        <x:f>IF($C37="","",IF(O37=0,"확인필요",IF(ABS(M37-O37)/O37&lt;=0.3,"정상","Rule초과")))</x:f>
      </x:c>
      <x:c r="R37" s="75" t="str">
        <x:f>IF($C37="","",M37)</x:f>
      </x:c>
      <x:c r="S37" s="75" t="str">
        <x:f>IF($C37="","",R37*SUMIFS('Master_Rules'!$J$4:$J$200,'Master_Rules'!$D$4:$D$200,C37))</x:f>
      </x:c>
      <x:c r="T37" s="72" t="str">
        <x:f>IF($C37="","",IF(OR(P37="Rule초과",Q37="Rule초과"),"Flex 확인",IF(R37&gt;J37,"MOQ 조정","정상")))</x:f>
      </x:c>
    </x:row>
    <x:row r="38">
      <x:c r="A38" s="71"/>
      <x:c r="B38" s="71"/>
      <x:c r="C38" s="72"/>
      <x:c r="D38" s="72"/>
      <x:c r="E38" s="72"/>
      <x:c r="F38" s="75" t="str">
        <x:f>IF($C38="","",SUMIFS('Input_OL'!$K$4:$K$200,'Input_OL'!$C$4:$C$200,C38,'Input_OL'!$F$4:$F$200,B38))</x:f>
      </x:c>
      <x:c r="G38" s="75" t="str">
        <x:f>IF($C38="","",SUMIFS('Input_Inventory'!$G$4:$G$200,'Input_Inventory'!$C$4:$C$200,C38))</x:f>
      </x:c>
      <x:c r="H38" s="75" t="str">
        <x:f>IF($C38="","",SUMIFS('Input_Inventory'!$L$4:$L$200,'Input_Inventory'!$C$4:$C$200,C38,'Input_Inventory'!$F$4:$F$200,B38))</x:f>
      </x:c>
      <x:c r="I38" s="75" t="str">
        <x:f>IF($C38="","",G38+H38)</x:f>
      </x:c>
      <x:c r="J38" s="75" t="str">
        <x:f>IF($C38="","",MAX(0,F38-I38))</x:f>
      </x:c>
      <x:c r="K38" s="75" t="str">
        <x:f>IF($C38="","",SUMIFS('Master_Rules'!$G$4:$G$200,'Master_Rules'!$D$4:$D$200,C38))</x:f>
      </x:c>
      <x:c r="L38" s="75" t="str">
        <x:f>IF($C38="","",SUMIFS('Master_Rules'!$H$4:$H$200,'Master_Rules'!$D$4:$D$200,C38))</x:f>
      </x:c>
      <x:c r="M38" s="75" t="str">
        <x:f>IF($C38="","",IF(K38=0,J38,MAX(K38,CEILING(J38,L38))))</x:f>
      </x:c>
      <x:c r="N38" s="75" t="str">
        <x:f>IF($C38="","",SUMIFS('Input_OL'!$G$4:$G$200,'Input_OL'!$C$4:$C$200,C38,'Input_OL'!$F$4:$F$200,B38))</x:f>
      </x:c>
      <x:c r="O38" s="75" t="str">
        <x:f>IF($C38="","",SUMIFS('Input_OL'!$G$4:$G$200,'Input_OL'!$C$4:$C$200,C38,'Input_OL'!$F$4:$F$200,B38))</x:f>
      </x:c>
      <x:c r="P38" s="75" t="str">
        <x:f>IF($C38="","",IF(N38=0,"확인필요",IF(ABS(M38-N38)/N38&lt;=0.2,"정상","Rule초과")))</x:f>
      </x:c>
      <x:c r="Q38" s="75" t="str">
        <x:f>IF($C38="","",IF(O38=0,"확인필요",IF(ABS(M38-O38)/O38&lt;=0.3,"정상","Rule초과")))</x:f>
      </x:c>
      <x:c r="R38" s="75" t="str">
        <x:f>IF($C38="","",M38)</x:f>
      </x:c>
      <x:c r="S38" s="75" t="str">
        <x:f>IF($C38="","",R38*SUMIFS('Master_Rules'!$J$4:$J$200,'Master_Rules'!$D$4:$D$200,C38))</x:f>
      </x:c>
      <x:c r="T38" s="72" t="str">
        <x:f>IF($C38="","",IF(OR(P38="Rule초과",Q38="Rule초과"),"Flex 확인",IF(R38&gt;J38,"MOQ 조정","정상")))</x:f>
      </x:c>
    </x:row>
    <x:row r="39">
      <x:c r="A39" s="71"/>
      <x:c r="B39" s="71"/>
      <x:c r="C39" s="72"/>
      <x:c r="D39" s="72"/>
      <x:c r="E39" s="72"/>
      <x:c r="F39" s="75" t="str">
        <x:f>IF($C39="","",SUMIFS('Input_OL'!$K$4:$K$200,'Input_OL'!$C$4:$C$200,C39,'Input_OL'!$F$4:$F$200,B39))</x:f>
      </x:c>
      <x:c r="G39" s="75" t="str">
        <x:f>IF($C39="","",SUMIFS('Input_Inventory'!$G$4:$G$200,'Input_Inventory'!$C$4:$C$200,C39))</x:f>
      </x:c>
      <x:c r="H39" s="75" t="str">
        <x:f>IF($C39="","",SUMIFS('Input_Inventory'!$L$4:$L$200,'Input_Inventory'!$C$4:$C$200,C39,'Input_Inventory'!$F$4:$F$200,B39))</x:f>
      </x:c>
      <x:c r="I39" s="75" t="str">
        <x:f>IF($C39="","",G39+H39)</x:f>
      </x:c>
      <x:c r="J39" s="75" t="str">
        <x:f>IF($C39="","",MAX(0,F39-I39))</x:f>
      </x:c>
      <x:c r="K39" s="75" t="str">
        <x:f>IF($C39="","",SUMIFS('Master_Rules'!$G$4:$G$200,'Master_Rules'!$D$4:$D$200,C39))</x:f>
      </x:c>
      <x:c r="L39" s="75" t="str">
        <x:f>IF($C39="","",SUMIFS('Master_Rules'!$H$4:$H$200,'Master_Rules'!$D$4:$D$200,C39))</x:f>
      </x:c>
      <x:c r="M39" s="75" t="str">
        <x:f>IF($C39="","",IF(K39=0,J39,MAX(K39,CEILING(J39,L39))))</x:f>
      </x:c>
      <x:c r="N39" s="75" t="str">
        <x:f>IF($C39="","",SUMIFS('Input_OL'!$G$4:$G$200,'Input_OL'!$C$4:$C$200,C39,'Input_OL'!$F$4:$F$200,B39))</x:f>
      </x:c>
      <x:c r="O39" s="75" t="str">
        <x:f>IF($C39="","",SUMIFS('Input_OL'!$G$4:$G$200,'Input_OL'!$C$4:$C$200,C39,'Input_OL'!$F$4:$F$200,B39))</x:f>
      </x:c>
      <x:c r="P39" s="75" t="str">
        <x:f>IF($C39="","",IF(N39=0,"확인필요",IF(ABS(M39-N39)/N39&lt;=0.2,"정상","Rule초과")))</x:f>
      </x:c>
      <x:c r="Q39" s="75" t="str">
        <x:f>IF($C39="","",IF(O39=0,"확인필요",IF(ABS(M39-O39)/O39&lt;=0.3,"정상","Rule초과")))</x:f>
      </x:c>
      <x:c r="R39" s="75" t="str">
        <x:f>IF($C39="","",M39)</x:f>
      </x:c>
      <x:c r="S39" s="75" t="str">
        <x:f>IF($C39="","",R39*SUMIFS('Master_Rules'!$J$4:$J$200,'Master_Rules'!$D$4:$D$200,C39))</x:f>
      </x:c>
      <x:c r="T39" s="72" t="str">
        <x:f>IF($C39="","",IF(OR(P39="Rule초과",Q39="Rule초과"),"Flex 확인",IF(R39&gt;J39,"MOQ 조정","정상")))</x:f>
      </x:c>
    </x:row>
    <x:row r="40">
      <x:c r="A40" s="71"/>
      <x:c r="B40" s="71"/>
      <x:c r="C40" s="72"/>
      <x:c r="D40" s="72"/>
      <x:c r="E40" s="72"/>
      <x:c r="F40" s="75" t="str">
        <x:f>IF($C40="","",SUMIFS('Input_OL'!$K$4:$K$200,'Input_OL'!$C$4:$C$200,C40,'Input_OL'!$F$4:$F$200,B40))</x:f>
      </x:c>
      <x:c r="G40" s="75" t="str">
        <x:f>IF($C40="","",SUMIFS('Input_Inventory'!$G$4:$G$200,'Input_Inventory'!$C$4:$C$200,C40))</x:f>
      </x:c>
      <x:c r="H40" s="75" t="str">
        <x:f>IF($C40="","",SUMIFS('Input_Inventory'!$L$4:$L$200,'Input_Inventory'!$C$4:$C$200,C40,'Input_Inventory'!$F$4:$F$200,B40))</x:f>
      </x:c>
      <x:c r="I40" s="75" t="str">
        <x:f>IF($C40="","",G40+H40)</x:f>
      </x:c>
      <x:c r="J40" s="75" t="str">
        <x:f>IF($C40="","",MAX(0,F40-I40))</x:f>
      </x:c>
      <x:c r="K40" s="75" t="str">
        <x:f>IF($C40="","",SUMIFS('Master_Rules'!$G$4:$G$200,'Master_Rules'!$D$4:$D$200,C40))</x:f>
      </x:c>
      <x:c r="L40" s="75" t="str">
        <x:f>IF($C40="","",SUMIFS('Master_Rules'!$H$4:$H$200,'Master_Rules'!$D$4:$D$200,C40))</x:f>
      </x:c>
      <x:c r="M40" s="75" t="str">
        <x:f>IF($C40="","",IF(K40=0,J40,MAX(K40,CEILING(J40,L40))))</x:f>
      </x:c>
      <x:c r="N40" s="75" t="str">
        <x:f>IF($C40="","",SUMIFS('Input_OL'!$G$4:$G$200,'Input_OL'!$C$4:$C$200,C40,'Input_OL'!$F$4:$F$200,B40))</x:f>
      </x:c>
      <x:c r="O40" s="75" t="str">
        <x:f>IF($C40="","",SUMIFS('Input_OL'!$G$4:$G$200,'Input_OL'!$C$4:$C$200,C40,'Input_OL'!$F$4:$F$200,B40))</x:f>
      </x:c>
      <x:c r="P40" s="75" t="str">
        <x:f>IF($C40="","",IF(N40=0,"확인필요",IF(ABS(M40-N40)/N40&lt;=0.2,"정상","Rule초과")))</x:f>
      </x:c>
      <x:c r="Q40" s="75" t="str">
        <x:f>IF($C40="","",IF(O40=0,"확인필요",IF(ABS(M40-O40)/O40&lt;=0.3,"정상","Rule초과")))</x:f>
      </x:c>
      <x:c r="R40" s="75" t="str">
        <x:f>IF($C40="","",M40)</x:f>
      </x:c>
      <x:c r="S40" s="75" t="str">
        <x:f>IF($C40="","",R40*SUMIFS('Master_Rules'!$J$4:$J$200,'Master_Rules'!$D$4:$D$200,C40))</x:f>
      </x:c>
      <x:c r="T40" s="72" t="str">
        <x:f>IF($C40="","",IF(OR(P40="Rule초과",Q40="Rule초과"),"Flex 확인",IF(R40&gt;J40,"MOQ 조정","정상")))</x:f>
      </x:c>
    </x:row>
    <x:row r="41">
      <x:c r="A41" s="71"/>
      <x:c r="B41" s="71"/>
      <x:c r="C41" s="72"/>
      <x:c r="D41" s="72"/>
      <x:c r="E41" s="72"/>
      <x:c r="F41" s="75" t="str">
        <x:f>IF($C41="","",SUMIFS('Input_OL'!$K$4:$K$200,'Input_OL'!$C$4:$C$200,C41,'Input_OL'!$F$4:$F$200,B41))</x:f>
      </x:c>
      <x:c r="G41" s="75" t="str">
        <x:f>IF($C41="","",SUMIFS('Input_Inventory'!$G$4:$G$200,'Input_Inventory'!$C$4:$C$200,C41))</x:f>
      </x:c>
      <x:c r="H41" s="75" t="str">
        <x:f>IF($C41="","",SUMIFS('Input_Inventory'!$L$4:$L$200,'Input_Inventory'!$C$4:$C$200,C41,'Input_Inventory'!$F$4:$F$200,B41))</x:f>
      </x:c>
      <x:c r="I41" s="75" t="str">
        <x:f>IF($C41="","",G41+H41)</x:f>
      </x:c>
      <x:c r="J41" s="75" t="str">
        <x:f>IF($C41="","",MAX(0,F41-I41))</x:f>
      </x:c>
      <x:c r="K41" s="75" t="str">
        <x:f>IF($C41="","",SUMIFS('Master_Rules'!$G$4:$G$200,'Master_Rules'!$D$4:$D$200,C41))</x:f>
      </x:c>
      <x:c r="L41" s="75" t="str">
        <x:f>IF($C41="","",SUMIFS('Master_Rules'!$H$4:$H$200,'Master_Rules'!$D$4:$D$200,C41))</x:f>
      </x:c>
      <x:c r="M41" s="75" t="str">
        <x:f>IF($C41="","",IF(K41=0,J41,MAX(K41,CEILING(J41,L41))))</x:f>
      </x:c>
      <x:c r="N41" s="75" t="str">
        <x:f>IF($C41="","",SUMIFS('Input_OL'!$G$4:$G$200,'Input_OL'!$C$4:$C$200,C41,'Input_OL'!$F$4:$F$200,B41))</x:f>
      </x:c>
      <x:c r="O41" s="75" t="str">
        <x:f>IF($C41="","",SUMIFS('Input_OL'!$G$4:$G$200,'Input_OL'!$C$4:$C$200,C41,'Input_OL'!$F$4:$F$200,B41))</x:f>
      </x:c>
      <x:c r="P41" s="75" t="str">
        <x:f>IF($C41="","",IF(N41=0,"확인필요",IF(ABS(M41-N41)/N41&lt;=0.2,"정상","Rule초과")))</x:f>
      </x:c>
      <x:c r="Q41" s="75" t="str">
        <x:f>IF($C41="","",IF(O41=0,"확인필요",IF(ABS(M41-O41)/O41&lt;=0.3,"정상","Rule초과")))</x:f>
      </x:c>
      <x:c r="R41" s="75" t="str">
        <x:f>IF($C41="","",M41)</x:f>
      </x:c>
      <x:c r="S41" s="75" t="str">
        <x:f>IF($C41="","",R41*SUMIFS('Master_Rules'!$J$4:$J$200,'Master_Rules'!$D$4:$D$200,C41))</x:f>
      </x:c>
      <x:c r="T41" s="72" t="str">
        <x:f>IF($C41="","",IF(OR(P41="Rule초과",Q41="Rule초과"),"Flex 확인",IF(R41&gt;J41,"MOQ 조정","정상")))</x:f>
      </x:c>
    </x:row>
    <x:row r="42">
      <x:c r="A42" s="71"/>
      <x:c r="B42" s="71"/>
      <x:c r="C42" s="72"/>
      <x:c r="D42" s="72"/>
      <x:c r="E42" s="72"/>
      <x:c r="F42" s="75" t="str">
        <x:f>IF($C42="","",SUMIFS('Input_OL'!$K$4:$K$200,'Input_OL'!$C$4:$C$200,C42,'Input_OL'!$F$4:$F$200,B42))</x:f>
      </x:c>
      <x:c r="G42" s="75" t="str">
        <x:f>IF($C42="","",SUMIFS('Input_Inventory'!$G$4:$G$200,'Input_Inventory'!$C$4:$C$200,C42))</x:f>
      </x:c>
      <x:c r="H42" s="75" t="str">
        <x:f>IF($C42="","",SUMIFS('Input_Inventory'!$L$4:$L$200,'Input_Inventory'!$C$4:$C$200,C42,'Input_Inventory'!$F$4:$F$200,B42))</x:f>
      </x:c>
      <x:c r="I42" s="75" t="str">
        <x:f>IF($C42="","",G42+H42)</x:f>
      </x:c>
      <x:c r="J42" s="75" t="str">
        <x:f>IF($C42="","",MAX(0,F42-I42))</x:f>
      </x:c>
      <x:c r="K42" s="75" t="str">
        <x:f>IF($C42="","",SUMIFS('Master_Rules'!$G$4:$G$200,'Master_Rules'!$D$4:$D$200,C42))</x:f>
      </x:c>
      <x:c r="L42" s="75" t="str">
        <x:f>IF($C42="","",SUMIFS('Master_Rules'!$H$4:$H$200,'Master_Rules'!$D$4:$D$200,C42))</x:f>
      </x:c>
      <x:c r="M42" s="75" t="str">
        <x:f>IF($C42="","",IF(K42=0,J42,MAX(K42,CEILING(J42,L42))))</x:f>
      </x:c>
      <x:c r="N42" s="75" t="str">
        <x:f>IF($C42="","",SUMIFS('Input_OL'!$G$4:$G$200,'Input_OL'!$C$4:$C$200,C42,'Input_OL'!$F$4:$F$200,B42))</x:f>
      </x:c>
      <x:c r="O42" s="75" t="str">
        <x:f>IF($C42="","",SUMIFS('Input_OL'!$G$4:$G$200,'Input_OL'!$C$4:$C$200,C42,'Input_OL'!$F$4:$F$200,B42))</x:f>
      </x:c>
      <x:c r="P42" s="75" t="str">
        <x:f>IF($C42="","",IF(N42=0,"확인필요",IF(ABS(M42-N42)/N42&lt;=0.2,"정상","Rule초과")))</x:f>
      </x:c>
      <x:c r="Q42" s="75" t="str">
        <x:f>IF($C42="","",IF(O42=0,"확인필요",IF(ABS(M42-O42)/O42&lt;=0.3,"정상","Rule초과")))</x:f>
      </x:c>
      <x:c r="R42" s="75" t="str">
        <x:f>IF($C42="","",M42)</x:f>
      </x:c>
      <x:c r="S42" s="75" t="str">
        <x:f>IF($C42="","",R42*SUMIFS('Master_Rules'!$J$4:$J$200,'Master_Rules'!$D$4:$D$200,C42))</x:f>
      </x:c>
      <x:c r="T42" s="72" t="str">
        <x:f>IF($C42="","",IF(OR(P42="Rule초과",Q42="Rule초과"),"Flex 확인",IF(R42&gt;J42,"MOQ 조정","정상")))</x:f>
      </x:c>
    </x:row>
    <x:row r="43">
      <x:c r="A43" s="71"/>
      <x:c r="B43" s="71"/>
      <x:c r="C43" s="72"/>
      <x:c r="D43" s="72"/>
      <x:c r="E43" s="72"/>
      <x:c r="F43" s="75" t="str">
        <x:f>IF($C43="","",SUMIFS('Input_OL'!$K$4:$K$200,'Input_OL'!$C$4:$C$200,C43,'Input_OL'!$F$4:$F$200,B43))</x:f>
      </x:c>
      <x:c r="G43" s="75" t="str">
        <x:f>IF($C43="","",SUMIFS('Input_Inventory'!$G$4:$G$200,'Input_Inventory'!$C$4:$C$200,C43))</x:f>
      </x:c>
      <x:c r="H43" s="75" t="str">
        <x:f>IF($C43="","",SUMIFS('Input_Inventory'!$L$4:$L$200,'Input_Inventory'!$C$4:$C$200,C43,'Input_Inventory'!$F$4:$F$200,B43))</x:f>
      </x:c>
      <x:c r="I43" s="75" t="str">
        <x:f>IF($C43="","",G43+H43)</x:f>
      </x:c>
      <x:c r="J43" s="75" t="str">
        <x:f>IF($C43="","",MAX(0,F43-I43))</x:f>
      </x:c>
      <x:c r="K43" s="75" t="str">
        <x:f>IF($C43="","",SUMIFS('Master_Rules'!$G$4:$G$200,'Master_Rules'!$D$4:$D$200,C43))</x:f>
      </x:c>
      <x:c r="L43" s="75" t="str">
        <x:f>IF($C43="","",SUMIFS('Master_Rules'!$H$4:$H$200,'Master_Rules'!$D$4:$D$200,C43))</x:f>
      </x:c>
      <x:c r="M43" s="75" t="str">
        <x:f>IF($C43="","",IF(K43=0,J43,MAX(K43,CEILING(J43,L43))))</x:f>
      </x:c>
      <x:c r="N43" s="75" t="str">
        <x:f>IF($C43="","",SUMIFS('Input_OL'!$G$4:$G$200,'Input_OL'!$C$4:$C$200,C43,'Input_OL'!$F$4:$F$200,B43))</x:f>
      </x:c>
      <x:c r="O43" s="75" t="str">
        <x:f>IF($C43="","",SUMIFS('Input_OL'!$G$4:$G$200,'Input_OL'!$C$4:$C$200,C43,'Input_OL'!$F$4:$F$200,B43))</x:f>
      </x:c>
      <x:c r="P43" s="75" t="str">
        <x:f>IF($C43="","",IF(N43=0,"확인필요",IF(ABS(M43-N43)/N43&lt;=0.2,"정상","Rule초과")))</x:f>
      </x:c>
      <x:c r="Q43" s="75" t="str">
        <x:f>IF($C43="","",IF(O43=0,"확인필요",IF(ABS(M43-O43)/O43&lt;=0.3,"정상","Rule초과")))</x:f>
      </x:c>
      <x:c r="R43" s="75" t="str">
        <x:f>IF($C43="","",M43)</x:f>
      </x:c>
      <x:c r="S43" s="75" t="str">
        <x:f>IF($C43="","",R43*SUMIFS('Master_Rules'!$J$4:$J$200,'Master_Rules'!$D$4:$D$200,C43))</x:f>
      </x:c>
      <x:c r="T43" s="72" t="str">
        <x:f>IF($C43="","",IF(OR(P43="Rule초과",Q43="Rule초과"),"Flex 확인",IF(R43&gt;J43,"MOQ 조정","정상")))</x:f>
      </x:c>
    </x:row>
    <x:row r="44">
      <x:c r="A44" s="71"/>
      <x:c r="B44" s="71"/>
      <x:c r="C44" s="72"/>
      <x:c r="D44" s="72"/>
      <x:c r="E44" s="72"/>
      <x:c r="F44" s="75" t="str">
        <x:f>IF($C44="","",SUMIFS('Input_OL'!$K$4:$K$200,'Input_OL'!$C$4:$C$200,C44,'Input_OL'!$F$4:$F$200,B44))</x:f>
      </x:c>
      <x:c r="G44" s="75" t="str">
        <x:f>IF($C44="","",SUMIFS('Input_Inventory'!$G$4:$G$200,'Input_Inventory'!$C$4:$C$200,C44))</x:f>
      </x:c>
      <x:c r="H44" s="75" t="str">
        <x:f>IF($C44="","",SUMIFS('Input_Inventory'!$L$4:$L$200,'Input_Inventory'!$C$4:$C$200,C44,'Input_Inventory'!$F$4:$F$200,B44))</x:f>
      </x:c>
      <x:c r="I44" s="75" t="str">
        <x:f>IF($C44="","",G44+H44)</x:f>
      </x:c>
      <x:c r="J44" s="75" t="str">
        <x:f>IF($C44="","",MAX(0,F44-I44))</x:f>
      </x:c>
      <x:c r="K44" s="75" t="str">
        <x:f>IF($C44="","",SUMIFS('Master_Rules'!$G$4:$G$200,'Master_Rules'!$D$4:$D$200,C44))</x:f>
      </x:c>
      <x:c r="L44" s="75" t="str">
        <x:f>IF($C44="","",SUMIFS('Master_Rules'!$H$4:$H$200,'Master_Rules'!$D$4:$D$200,C44))</x:f>
      </x:c>
      <x:c r="M44" s="75" t="str">
        <x:f>IF($C44="","",IF(K44=0,J44,MAX(K44,CEILING(J44,L44))))</x:f>
      </x:c>
      <x:c r="N44" s="75" t="str">
        <x:f>IF($C44="","",SUMIFS('Input_OL'!$G$4:$G$200,'Input_OL'!$C$4:$C$200,C44,'Input_OL'!$F$4:$F$200,B44))</x:f>
      </x:c>
      <x:c r="O44" s="75" t="str">
        <x:f>IF($C44="","",SUMIFS('Input_OL'!$G$4:$G$200,'Input_OL'!$C$4:$C$200,C44,'Input_OL'!$F$4:$F$200,B44))</x:f>
      </x:c>
      <x:c r="P44" s="75" t="str">
        <x:f>IF($C44="","",IF(N44=0,"확인필요",IF(ABS(M44-N44)/N44&lt;=0.2,"정상","Rule초과")))</x:f>
      </x:c>
      <x:c r="Q44" s="75" t="str">
        <x:f>IF($C44="","",IF(O44=0,"확인필요",IF(ABS(M44-O44)/O44&lt;=0.3,"정상","Rule초과")))</x:f>
      </x:c>
      <x:c r="R44" s="75" t="str">
        <x:f>IF($C44="","",M44)</x:f>
      </x:c>
      <x:c r="S44" s="75" t="str">
        <x:f>IF($C44="","",R44*SUMIFS('Master_Rules'!$J$4:$J$200,'Master_Rules'!$D$4:$D$200,C44))</x:f>
      </x:c>
      <x:c r="T44" s="72" t="str">
        <x:f>IF($C44="","",IF(OR(P44="Rule초과",Q44="Rule초과"),"Flex 확인",IF(R44&gt;J44,"MOQ 조정","정상")))</x:f>
      </x:c>
    </x:row>
    <x:row r="45">
      <x:c r="A45" s="71"/>
      <x:c r="B45" s="71"/>
      <x:c r="C45" s="72"/>
      <x:c r="D45" s="72"/>
      <x:c r="E45" s="72"/>
      <x:c r="F45" s="75" t="str">
        <x:f>IF($C45="","",SUMIFS('Input_OL'!$K$4:$K$200,'Input_OL'!$C$4:$C$200,C45,'Input_OL'!$F$4:$F$200,B45))</x:f>
      </x:c>
      <x:c r="G45" s="75" t="str">
        <x:f>IF($C45="","",SUMIFS('Input_Inventory'!$G$4:$G$200,'Input_Inventory'!$C$4:$C$200,C45))</x:f>
      </x:c>
      <x:c r="H45" s="75" t="str">
        <x:f>IF($C45="","",SUMIFS('Input_Inventory'!$L$4:$L$200,'Input_Inventory'!$C$4:$C$200,C45,'Input_Inventory'!$F$4:$F$200,B45))</x:f>
      </x:c>
      <x:c r="I45" s="75" t="str">
        <x:f>IF($C45="","",G45+H45)</x:f>
      </x:c>
      <x:c r="J45" s="75" t="str">
        <x:f>IF($C45="","",MAX(0,F45-I45))</x:f>
      </x:c>
      <x:c r="K45" s="75" t="str">
        <x:f>IF($C45="","",SUMIFS('Master_Rules'!$G$4:$G$200,'Master_Rules'!$D$4:$D$200,C45))</x:f>
      </x:c>
      <x:c r="L45" s="75" t="str">
        <x:f>IF($C45="","",SUMIFS('Master_Rules'!$H$4:$H$200,'Master_Rules'!$D$4:$D$200,C45))</x:f>
      </x:c>
      <x:c r="M45" s="75" t="str">
        <x:f>IF($C45="","",IF(K45=0,J45,MAX(K45,CEILING(J45,L45))))</x:f>
      </x:c>
      <x:c r="N45" s="75" t="str">
        <x:f>IF($C45="","",SUMIFS('Input_OL'!$G$4:$G$200,'Input_OL'!$C$4:$C$200,C45,'Input_OL'!$F$4:$F$200,B45))</x:f>
      </x:c>
      <x:c r="O45" s="75" t="str">
        <x:f>IF($C45="","",SUMIFS('Input_OL'!$G$4:$G$200,'Input_OL'!$C$4:$C$200,C45,'Input_OL'!$F$4:$F$200,B45))</x:f>
      </x:c>
      <x:c r="P45" s="75" t="str">
        <x:f>IF($C45="","",IF(N45=0,"확인필요",IF(ABS(M45-N45)/N45&lt;=0.2,"정상","Rule초과")))</x:f>
      </x:c>
      <x:c r="Q45" s="75" t="str">
        <x:f>IF($C45="","",IF(O45=0,"확인필요",IF(ABS(M45-O45)/O45&lt;=0.3,"정상","Rule초과")))</x:f>
      </x:c>
      <x:c r="R45" s="75" t="str">
        <x:f>IF($C45="","",M45)</x:f>
      </x:c>
      <x:c r="S45" s="75" t="str">
        <x:f>IF($C45="","",R45*SUMIFS('Master_Rules'!$J$4:$J$200,'Master_Rules'!$D$4:$D$200,C45))</x:f>
      </x:c>
      <x:c r="T45" s="72" t="str">
        <x:f>IF($C45="","",IF(OR(P45="Rule초과",Q45="Rule초과"),"Flex 확인",IF(R45&gt;J45,"MOQ 조정","정상")))</x:f>
      </x:c>
    </x:row>
    <x:row r="46">
      <x:c r="A46" s="71"/>
      <x:c r="B46" s="71"/>
      <x:c r="C46" s="72"/>
      <x:c r="D46" s="72"/>
      <x:c r="E46" s="72"/>
      <x:c r="F46" s="75" t="str">
        <x:f>IF($C46="","",SUMIFS('Input_OL'!$K$4:$K$200,'Input_OL'!$C$4:$C$200,C46,'Input_OL'!$F$4:$F$200,B46))</x:f>
      </x:c>
      <x:c r="G46" s="75" t="str">
        <x:f>IF($C46="","",SUMIFS('Input_Inventory'!$G$4:$G$200,'Input_Inventory'!$C$4:$C$200,C46))</x:f>
      </x:c>
      <x:c r="H46" s="75" t="str">
        <x:f>IF($C46="","",SUMIFS('Input_Inventory'!$L$4:$L$200,'Input_Inventory'!$C$4:$C$200,C46,'Input_Inventory'!$F$4:$F$200,B46))</x:f>
      </x:c>
      <x:c r="I46" s="75" t="str">
        <x:f>IF($C46="","",G46+H46)</x:f>
      </x:c>
      <x:c r="J46" s="75" t="str">
        <x:f>IF($C46="","",MAX(0,F46-I46))</x:f>
      </x:c>
      <x:c r="K46" s="75" t="str">
        <x:f>IF($C46="","",SUMIFS('Master_Rules'!$G$4:$G$200,'Master_Rules'!$D$4:$D$200,C46))</x:f>
      </x:c>
      <x:c r="L46" s="75" t="str">
        <x:f>IF($C46="","",SUMIFS('Master_Rules'!$H$4:$H$200,'Master_Rules'!$D$4:$D$200,C46))</x:f>
      </x:c>
      <x:c r="M46" s="75" t="str">
        <x:f>IF($C46="","",IF(K46=0,J46,MAX(K46,CEILING(J46,L46))))</x:f>
      </x:c>
      <x:c r="N46" s="75" t="str">
        <x:f>IF($C46="","",SUMIFS('Input_OL'!$G$4:$G$200,'Input_OL'!$C$4:$C$200,C46,'Input_OL'!$F$4:$F$200,B46))</x:f>
      </x:c>
      <x:c r="O46" s="75" t="str">
        <x:f>IF($C46="","",SUMIFS('Input_OL'!$G$4:$G$200,'Input_OL'!$C$4:$C$200,C46,'Input_OL'!$F$4:$F$200,B46))</x:f>
      </x:c>
      <x:c r="P46" s="75" t="str">
        <x:f>IF($C46="","",IF(N46=0,"확인필요",IF(ABS(M46-N46)/N46&lt;=0.2,"정상","Rule초과")))</x:f>
      </x:c>
      <x:c r="Q46" s="75" t="str">
        <x:f>IF($C46="","",IF(O46=0,"확인필요",IF(ABS(M46-O46)/O46&lt;=0.3,"정상","Rule초과")))</x:f>
      </x:c>
      <x:c r="R46" s="75" t="str">
        <x:f>IF($C46="","",M46)</x:f>
      </x:c>
      <x:c r="S46" s="75" t="str">
        <x:f>IF($C46="","",R46*SUMIFS('Master_Rules'!$J$4:$J$200,'Master_Rules'!$D$4:$D$200,C46))</x:f>
      </x:c>
      <x:c r="T46" s="72" t="str">
        <x:f>IF($C46="","",IF(OR(P46="Rule초과",Q46="Rule초과"),"Flex 확인",IF(R46&gt;J46,"MOQ 조정","정상")))</x:f>
      </x:c>
    </x:row>
    <x:row r="47">
      <x:c r="A47" s="71"/>
      <x:c r="B47" s="71"/>
      <x:c r="C47" s="72"/>
      <x:c r="D47" s="72"/>
      <x:c r="E47" s="72"/>
      <x:c r="F47" s="75" t="str">
        <x:f>IF($C47="","",SUMIFS('Input_OL'!$K$4:$K$200,'Input_OL'!$C$4:$C$200,C47,'Input_OL'!$F$4:$F$200,B47))</x:f>
      </x:c>
      <x:c r="G47" s="75" t="str">
        <x:f>IF($C47="","",SUMIFS('Input_Inventory'!$G$4:$G$200,'Input_Inventory'!$C$4:$C$200,C47))</x:f>
      </x:c>
      <x:c r="H47" s="75" t="str">
        <x:f>IF($C47="","",SUMIFS('Input_Inventory'!$L$4:$L$200,'Input_Inventory'!$C$4:$C$200,C47,'Input_Inventory'!$F$4:$F$200,B47))</x:f>
      </x:c>
      <x:c r="I47" s="75" t="str">
        <x:f>IF($C47="","",G47+H47)</x:f>
      </x:c>
      <x:c r="J47" s="75" t="str">
        <x:f>IF($C47="","",MAX(0,F47-I47))</x:f>
      </x:c>
      <x:c r="K47" s="75" t="str">
        <x:f>IF($C47="","",SUMIFS('Master_Rules'!$G$4:$G$200,'Master_Rules'!$D$4:$D$200,C47))</x:f>
      </x:c>
      <x:c r="L47" s="75" t="str">
        <x:f>IF($C47="","",SUMIFS('Master_Rules'!$H$4:$H$200,'Master_Rules'!$D$4:$D$200,C47))</x:f>
      </x:c>
      <x:c r="M47" s="75" t="str">
        <x:f>IF($C47="","",IF(K47=0,J47,MAX(K47,CEILING(J47,L47))))</x:f>
      </x:c>
      <x:c r="N47" s="75" t="str">
        <x:f>IF($C47="","",SUMIFS('Input_OL'!$G$4:$G$200,'Input_OL'!$C$4:$C$200,C47,'Input_OL'!$F$4:$F$200,B47))</x:f>
      </x:c>
      <x:c r="O47" s="75" t="str">
        <x:f>IF($C47="","",SUMIFS('Input_OL'!$G$4:$G$200,'Input_OL'!$C$4:$C$200,C47,'Input_OL'!$F$4:$F$200,B47))</x:f>
      </x:c>
      <x:c r="P47" s="75" t="str">
        <x:f>IF($C47="","",IF(N47=0,"확인필요",IF(ABS(M47-N47)/N47&lt;=0.2,"정상","Rule초과")))</x:f>
      </x:c>
      <x:c r="Q47" s="75" t="str">
        <x:f>IF($C47="","",IF(O47=0,"확인필요",IF(ABS(M47-O47)/O47&lt;=0.3,"정상","Rule초과")))</x:f>
      </x:c>
      <x:c r="R47" s="75" t="str">
        <x:f>IF($C47="","",M47)</x:f>
      </x:c>
      <x:c r="S47" s="75" t="str">
        <x:f>IF($C47="","",R47*SUMIFS('Master_Rules'!$J$4:$J$200,'Master_Rules'!$D$4:$D$200,C47))</x:f>
      </x:c>
      <x:c r="T47" s="72" t="str">
        <x:f>IF($C47="","",IF(OR(P47="Rule초과",Q47="Rule초과"),"Flex 확인",IF(R47&gt;J47,"MOQ 조정","정상")))</x:f>
      </x:c>
    </x:row>
    <x:row r="48">
      <x:c r="A48" s="71"/>
      <x:c r="B48" s="71"/>
      <x:c r="C48" s="72"/>
      <x:c r="D48" s="72"/>
      <x:c r="E48" s="72"/>
      <x:c r="F48" s="75" t="str">
        <x:f>IF($C48="","",SUMIFS('Input_OL'!$K$4:$K$200,'Input_OL'!$C$4:$C$200,C48,'Input_OL'!$F$4:$F$200,B48))</x:f>
      </x:c>
      <x:c r="G48" s="75" t="str">
        <x:f>IF($C48="","",SUMIFS('Input_Inventory'!$G$4:$G$200,'Input_Inventory'!$C$4:$C$200,C48))</x:f>
      </x:c>
      <x:c r="H48" s="75" t="str">
        <x:f>IF($C48="","",SUMIFS('Input_Inventory'!$L$4:$L$200,'Input_Inventory'!$C$4:$C$200,C48,'Input_Inventory'!$F$4:$F$200,B48))</x:f>
      </x:c>
      <x:c r="I48" s="75" t="str">
        <x:f>IF($C48="","",G48+H48)</x:f>
      </x:c>
      <x:c r="J48" s="75" t="str">
        <x:f>IF($C48="","",MAX(0,F48-I48))</x:f>
      </x:c>
      <x:c r="K48" s="75" t="str">
        <x:f>IF($C48="","",SUMIFS('Master_Rules'!$G$4:$G$200,'Master_Rules'!$D$4:$D$200,C48))</x:f>
      </x:c>
      <x:c r="L48" s="75" t="str">
        <x:f>IF($C48="","",SUMIFS('Master_Rules'!$H$4:$H$200,'Master_Rules'!$D$4:$D$200,C48))</x:f>
      </x:c>
      <x:c r="M48" s="75" t="str">
        <x:f>IF($C48="","",IF(K48=0,J48,MAX(K48,CEILING(J48,L48))))</x:f>
      </x:c>
      <x:c r="N48" s="75" t="str">
        <x:f>IF($C48="","",SUMIFS('Input_OL'!$G$4:$G$200,'Input_OL'!$C$4:$C$200,C48,'Input_OL'!$F$4:$F$200,B48))</x:f>
      </x:c>
      <x:c r="O48" s="75" t="str">
        <x:f>IF($C48="","",SUMIFS('Input_OL'!$G$4:$G$200,'Input_OL'!$C$4:$C$200,C48,'Input_OL'!$F$4:$F$200,B48))</x:f>
      </x:c>
      <x:c r="P48" s="75" t="str">
        <x:f>IF($C48="","",IF(N48=0,"확인필요",IF(ABS(M48-N48)/N48&lt;=0.2,"정상","Rule초과")))</x:f>
      </x:c>
      <x:c r="Q48" s="75" t="str">
        <x:f>IF($C48="","",IF(O48=0,"확인필요",IF(ABS(M48-O48)/O48&lt;=0.3,"정상","Rule초과")))</x:f>
      </x:c>
      <x:c r="R48" s="75" t="str">
        <x:f>IF($C48="","",M48)</x:f>
      </x:c>
      <x:c r="S48" s="75" t="str">
        <x:f>IF($C48="","",R48*SUMIFS('Master_Rules'!$J$4:$J$200,'Master_Rules'!$D$4:$D$200,C48))</x:f>
      </x:c>
      <x:c r="T48" s="72" t="str">
        <x:f>IF($C48="","",IF(OR(P48="Rule초과",Q48="Rule초과"),"Flex 확인",IF(R48&gt;J48,"MOQ 조정","정상")))</x:f>
      </x:c>
    </x:row>
    <x:row r="49">
      <x:c r="A49" s="71"/>
      <x:c r="B49" s="71"/>
      <x:c r="C49" s="72"/>
      <x:c r="D49" s="72"/>
      <x:c r="E49" s="72"/>
      <x:c r="F49" s="75" t="str">
        <x:f>IF($C49="","",SUMIFS('Input_OL'!$K$4:$K$200,'Input_OL'!$C$4:$C$200,C49,'Input_OL'!$F$4:$F$200,B49))</x:f>
      </x:c>
      <x:c r="G49" s="75" t="str">
        <x:f>IF($C49="","",SUMIFS('Input_Inventory'!$G$4:$G$200,'Input_Inventory'!$C$4:$C$200,C49))</x:f>
      </x:c>
      <x:c r="H49" s="75" t="str">
        <x:f>IF($C49="","",SUMIFS('Input_Inventory'!$L$4:$L$200,'Input_Inventory'!$C$4:$C$200,C49,'Input_Inventory'!$F$4:$F$200,B49))</x:f>
      </x:c>
      <x:c r="I49" s="75" t="str">
        <x:f>IF($C49="","",G49+H49)</x:f>
      </x:c>
      <x:c r="J49" s="75" t="str">
        <x:f>IF($C49="","",MAX(0,F49-I49))</x:f>
      </x:c>
      <x:c r="K49" s="75" t="str">
        <x:f>IF($C49="","",SUMIFS('Master_Rules'!$G$4:$G$200,'Master_Rules'!$D$4:$D$200,C49))</x:f>
      </x:c>
      <x:c r="L49" s="75" t="str">
        <x:f>IF($C49="","",SUMIFS('Master_Rules'!$H$4:$H$200,'Master_Rules'!$D$4:$D$200,C49))</x:f>
      </x:c>
      <x:c r="M49" s="75" t="str">
        <x:f>IF($C49="","",IF(K49=0,J49,MAX(K49,CEILING(J49,L49))))</x:f>
      </x:c>
      <x:c r="N49" s="75" t="str">
        <x:f>IF($C49="","",SUMIFS('Input_OL'!$G$4:$G$200,'Input_OL'!$C$4:$C$200,C49,'Input_OL'!$F$4:$F$200,B49))</x:f>
      </x:c>
      <x:c r="O49" s="75" t="str">
        <x:f>IF($C49="","",SUMIFS('Input_OL'!$G$4:$G$200,'Input_OL'!$C$4:$C$200,C49,'Input_OL'!$F$4:$F$200,B49))</x:f>
      </x:c>
      <x:c r="P49" s="75" t="str">
        <x:f>IF($C49="","",IF(N49=0,"확인필요",IF(ABS(M49-N49)/N49&lt;=0.2,"정상","Rule초과")))</x:f>
      </x:c>
      <x:c r="Q49" s="75" t="str">
        <x:f>IF($C49="","",IF(O49=0,"확인필요",IF(ABS(M49-O49)/O49&lt;=0.3,"정상","Rule초과")))</x:f>
      </x:c>
      <x:c r="R49" s="75" t="str">
        <x:f>IF($C49="","",M49)</x:f>
      </x:c>
      <x:c r="S49" s="75" t="str">
        <x:f>IF($C49="","",R49*SUMIFS('Master_Rules'!$J$4:$J$200,'Master_Rules'!$D$4:$D$200,C49))</x:f>
      </x:c>
      <x:c r="T49" s="72" t="str">
        <x:f>IF($C49="","",IF(OR(P49="Rule초과",Q49="Rule초과"),"Flex 확인",IF(R49&gt;J49,"MOQ 조정","정상")))</x:f>
      </x:c>
    </x:row>
    <x:row r="50">
      <x:c r="A50" s="71"/>
      <x:c r="B50" s="71"/>
      <x:c r="C50" s="72"/>
      <x:c r="D50" s="72"/>
      <x:c r="E50" s="72"/>
      <x:c r="F50" s="75" t="str">
        <x:f>IF($C50="","",SUMIFS('Input_OL'!$K$4:$K$200,'Input_OL'!$C$4:$C$200,C50,'Input_OL'!$F$4:$F$200,B50))</x:f>
      </x:c>
      <x:c r="G50" s="75" t="str">
        <x:f>IF($C50="","",SUMIFS('Input_Inventory'!$G$4:$G$200,'Input_Inventory'!$C$4:$C$200,C50))</x:f>
      </x:c>
      <x:c r="H50" s="75" t="str">
        <x:f>IF($C50="","",SUMIFS('Input_Inventory'!$L$4:$L$200,'Input_Inventory'!$C$4:$C$200,C50,'Input_Inventory'!$F$4:$F$200,B50))</x:f>
      </x:c>
      <x:c r="I50" s="75" t="str">
        <x:f>IF($C50="","",G50+H50)</x:f>
      </x:c>
      <x:c r="J50" s="75" t="str">
        <x:f>IF($C50="","",MAX(0,F50-I50))</x:f>
      </x:c>
      <x:c r="K50" s="75" t="str">
        <x:f>IF($C50="","",SUMIFS('Master_Rules'!$G$4:$G$200,'Master_Rules'!$D$4:$D$200,C50))</x:f>
      </x:c>
      <x:c r="L50" s="75" t="str">
        <x:f>IF($C50="","",SUMIFS('Master_Rules'!$H$4:$H$200,'Master_Rules'!$D$4:$D$200,C50))</x:f>
      </x:c>
      <x:c r="M50" s="75" t="str">
        <x:f>IF($C50="","",IF(K50=0,J50,MAX(K50,CEILING(J50,L50))))</x:f>
      </x:c>
      <x:c r="N50" s="75" t="str">
        <x:f>IF($C50="","",SUMIFS('Input_OL'!$G$4:$G$200,'Input_OL'!$C$4:$C$200,C50,'Input_OL'!$F$4:$F$200,B50))</x:f>
      </x:c>
      <x:c r="O50" s="75" t="str">
        <x:f>IF($C50="","",SUMIFS('Input_OL'!$G$4:$G$200,'Input_OL'!$C$4:$C$200,C50,'Input_OL'!$F$4:$F$200,B50))</x:f>
      </x:c>
      <x:c r="P50" s="75" t="str">
        <x:f>IF($C50="","",IF(N50=0,"확인필요",IF(ABS(M50-N50)/N50&lt;=0.2,"정상","Rule초과")))</x:f>
      </x:c>
      <x:c r="Q50" s="75" t="str">
        <x:f>IF($C50="","",IF(O50=0,"확인필요",IF(ABS(M50-O50)/O50&lt;=0.3,"정상","Rule초과")))</x:f>
      </x:c>
      <x:c r="R50" s="75" t="str">
        <x:f>IF($C50="","",M50)</x:f>
      </x:c>
      <x:c r="S50" s="75" t="str">
        <x:f>IF($C50="","",R50*SUMIFS('Master_Rules'!$J$4:$J$200,'Master_Rules'!$D$4:$D$200,C50))</x:f>
      </x:c>
      <x:c r="T50" s="72" t="str">
        <x:f>IF($C50="","",IF(OR(P50="Rule초과",Q50="Rule초과"),"Flex 확인",IF(R50&gt;J50,"MOQ 조정","정상")))</x:f>
      </x:c>
    </x:row>
    <x:row r="51">
      <x:c r="A51" s="71"/>
      <x:c r="B51" s="71"/>
      <x:c r="C51" s="72"/>
      <x:c r="D51" s="72"/>
      <x:c r="E51" s="72"/>
      <x:c r="F51" s="75" t="str">
        <x:f>IF($C51="","",SUMIFS('Input_OL'!$K$4:$K$200,'Input_OL'!$C$4:$C$200,C51,'Input_OL'!$F$4:$F$200,B51))</x:f>
      </x:c>
      <x:c r="G51" s="75" t="str">
        <x:f>IF($C51="","",SUMIFS('Input_Inventory'!$G$4:$G$200,'Input_Inventory'!$C$4:$C$200,C51))</x:f>
      </x:c>
      <x:c r="H51" s="75" t="str">
        <x:f>IF($C51="","",SUMIFS('Input_Inventory'!$L$4:$L$200,'Input_Inventory'!$C$4:$C$200,C51,'Input_Inventory'!$F$4:$F$200,B51))</x:f>
      </x:c>
      <x:c r="I51" s="75" t="str">
        <x:f>IF($C51="","",G51+H51)</x:f>
      </x:c>
      <x:c r="J51" s="75" t="str">
        <x:f>IF($C51="","",MAX(0,F51-I51))</x:f>
      </x:c>
      <x:c r="K51" s="75" t="str">
        <x:f>IF($C51="","",SUMIFS('Master_Rules'!$G$4:$G$200,'Master_Rules'!$D$4:$D$200,C51))</x:f>
      </x:c>
      <x:c r="L51" s="75" t="str">
        <x:f>IF($C51="","",SUMIFS('Master_Rules'!$H$4:$H$200,'Master_Rules'!$D$4:$D$200,C51))</x:f>
      </x:c>
      <x:c r="M51" s="75" t="str">
        <x:f>IF($C51="","",IF(K51=0,J51,MAX(K51,CEILING(J51,L51))))</x:f>
      </x:c>
      <x:c r="N51" s="75" t="str">
        <x:f>IF($C51="","",SUMIFS('Input_OL'!$G$4:$G$200,'Input_OL'!$C$4:$C$200,C51,'Input_OL'!$F$4:$F$200,B51))</x:f>
      </x:c>
      <x:c r="O51" s="75" t="str">
        <x:f>IF($C51="","",SUMIFS('Input_OL'!$G$4:$G$200,'Input_OL'!$C$4:$C$200,C51,'Input_OL'!$F$4:$F$200,B51))</x:f>
      </x:c>
      <x:c r="P51" s="75" t="str">
        <x:f>IF($C51="","",IF(N51=0,"확인필요",IF(ABS(M51-N51)/N51&lt;=0.2,"정상","Rule초과")))</x:f>
      </x:c>
      <x:c r="Q51" s="75" t="str">
        <x:f>IF($C51="","",IF(O51=0,"확인필요",IF(ABS(M51-O51)/O51&lt;=0.3,"정상","Rule초과")))</x:f>
      </x:c>
      <x:c r="R51" s="75" t="str">
        <x:f>IF($C51="","",M51)</x:f>
      </x:c>
      <x:c r="S51" s="75" t="str">
        <x:f>IF($C51="","",R51*SUMIFS('Master_Rules'!$J$4:$J$200,'Master_Rules'!$D$4:$D$200,C51))</x:f>
      </x:c>
      <x:c r="T51" s="72" t="str">
        <x:f>IF($C51="","",IF(OR(P51="Rule초과",Q51="Rule초과"),"Flex 확인",IF(R51&gt;J51,"MOQ 조정","정상")))</x:f>
      </x:c>
    </x:row>
    <x:row r="52">
      <x:c r="A52" s="71"/>
      <x:c r="B52" s="71"/>
      <x:c r="C52" s="72"/>
      <x:c r="D52" s="72"/>
      <x:c r="E52" s="72"/>
      <x:c r="F52" s="75" t="str">
        <x:f>IF($C52="","",SUMIFS('Input_OL'!$K$4:$K$200,'Input_OL'!$C$4:$C$200,C52,'Input_OL'!$F$4:$F$200,B52))</x:f>
      </x:c>
      <x:c r="G52" s="75" t="str">
        <x:f>IF($C52="","",SUMIFS('Input_Inventory'!$G$4:$G$200,'Input_Inventory'!$C$4:$C$200,C52))</x:f>
      </x:c>
      <x:c r="H52" s="75" t="str">
        <x:f>IF($C52="","",SUMIFS('Input_Inventory'!$L$4:$L$200,'Input_Inventory'!$C$4:$C$200,C52,'Input_Inventory'!$F$4:$F$200,B52))</x:f>
      </x:c>
      <x:c r="I52" s="75" t="str">
        <x:f>IF($C52="","",G52+H52)</x:f>
      </x:c>
      <x:c r="J52" s="75" t="str">
        <x:f>IF($C52="","",MAX(0,F52-I52))</x:f>
      </x:c>
      <x:c r="K52" s="75" t="str">
        <x:f>IF($C52="","",SUMIFS('Master_Rules'!$G$4:$G$200,'Master_Rules'!$D$4:$D$200,C52))</x:f>
      </x:c>
      <x:c r="L52" s="75" t="str">
        <x:f>IF($C52="","",SUMIFS('Master_Rules'!$H$4:$H$200,'Master_Rules'!$D$4:$D$200,C52))</x:f>
      </x:c>
      <x:c r="M52" s="75" t="str">
        <x:f>IF($C52="","",IF(K52=0,J52,MAX(K52,CEILING(J52,L52))))</x:f>
      </x:c>
      <x:c r="N52" s="75" t="str">
        <x:f>IF($C52="","",SUMIFS('Input_OL'!$G$4:$G$200,'Input_OL'!$C$4:$C$200,C52,'Input_OL'!$F$4:$F$200,B52))</x:f>
      </x:c>
      <x:c r="O52" s="75" t="str">
        <x:f>IF($C52="","",SUMIFS('Input_OL'!$G$4:$G$200,'Input_OL'!$C$4:$C$200,C52,'Input_OL'!$F$4:$F$200,B52))</x:f>
      </x:c>
      <x:c r="P52" s="75" t="str">
        <x:f>IF($C52="","",IF(N52=0,"확인필요",IF(ABS(M52-N52)/N52&lt;=0.2,"정상","Rule초과")))</x:f>
      </x:c>
      <x:c r="Q52" s="75" t="str">
        <x:f>IF($C52="","",IF(O52=0,"확인필요",IF(ABS(M52-O52)/O52&lt;=0.3,"정상","Rule초과")))</x:f>
      </x:c>
      <x:c r="R52" s="75" t="str">
        <x:f>IF($C52="","",M52)</x:f>
      </x:c>
      <x:c r="S52" s="75" t="str">
        <x:f>IF($C52="","",R52*SUMIFS('Master_Rules'!$J$4:$J$200,'Master_Rules'!$D$4:$D$200,C52))</x:f>
      </x:c>
      <x:c r="T52" s="72" t="str">
        <x:f>IF($C52="","",IF(OR(P52="Rule초과",Q52="Rule초과"),"Flex 확인",IF(R52&gt;J52,"MOQ 조정","정상")))</x:f>
      </x:c>
    </x:row>
    <x:row r="53">
      <x:c r="A53" s="71"/>
      <x:c r="B53" s="71"/>
      <x:c r="C53" s="72"/>
      <x:c r="D53" s="72"/>
      <x:c r="E53" s="72"/>
      <x:c r="F53" s="75" t="str">
        <x:f>IF($C53="","",SUMIFS('Input_OL'!$K$4:$K$200,'Input_OL'!$C$4:$C$200,C53,'Input_OL'!$F$4:$F$200,B53))</x:f>
      </x:c>
      <x:c r="G53" s="75" t="str">
        <x:f>IF($C53="","",SUMIFS('Input_Inventory'!$G$4:$G$200,'Input_Inventory'!$C$4:$C$200,C53))</x:f>
      </x:c>
      <x:c r="H53" s="75" t="str">
        <x:f>IF($C53="","",SUMIFS('Input_Inventory'!$L$4:$L$200,'Input_Inventory'!$C$4:$C$200,C53,'Input_Inventory'!$F$4:$F$200,B53))</x:f>
      </x:c>
      <x:c r="I53" s="75" t="str">
        <x:f>IF($C53="","",G53+H53)</x:f>
      </x:c>
      <x:c r="J53" s="75" t="str">
        <x:f>IF($C53="","",MAX(0,F53-I53))</x:f>
      </x:c>
      <x:c r="K53" s="75" t="str">
        <x:f>IF($C53="","",SUMIFS('Master_Rules'!$G$4:$G$200,'Master_Rules'!$D$4:$D$200,C53))</x:f>
      </x:c>
      <x:c r="L53" s="75" t="str">
        <x:f>IF($C53="","",SUMIFS('Master_Rules'!$H$4:$H$200,'Master_Rules'!$D$4:$D$200,C53))</x:f>
      </x:c>
      <x:c r="M53" s="75" t="str">
        <x:f>IF($C53="","",IF(K53=0,J53,MAX(K53,CEILING(J53,L53))))</x:f>
      </x:c>
      <x:c r="N53" s="75" t="str">
        <x:f>IF($C53="","",SUMIFS('Input_OL'!$G$4:$G$200,'Input_OL'!$C$4:$C$200,C53,'Input_OL'!$F$4:$F$200,B53))</x:f>
      </x:c>
      <x:c r="O53" s="75" t="str">
        <x:f>IF($C53="","",SUMIFS('Input_OL'!$G$4:$G$200,'Input_OL'!$C$4:$C$200,C53,'Input_OL'!$F$4:$F$200,B53))</x:f>
      </x:c>
      <x:c r="P53" s="75" t="str">
        <x:f>IF($C53="","",IF(N53=0,"확인필요",IF(ABS(M53-N53)/N53&lt;=0.2,"정상","Rule초과")))</x:f>
      </x:c>
      <x:c r="Q53" s="75" t="str">
        <x:f>IF($C53="","",IF(O53=0,"확인필요",IF(ABS(M53-O53)/O53&lt;=0.3,"정상","Rule초과")))</x:f>
      </x:c>
      <x:c r="R53" s="75" t="str">
        <x:f>IF($C53="","",M53)</x:f>
      </x:c>
      <x:c r="S53" s="75" t="str">
        <x:f>IF($C53="","",R53*SUMIFS('Master_Rules'!$J$4:$J$200,'Master_Rules'!$D$4:$D$200,C53))</x:f>
      </x:c>
      <x:c r="T53" s="72" t="str">
        <x:f>IF($C53="","",IF(OR(P53="Rule초과",Q53="Rule초과"),"Flex 확인",IF(R53&gt;J53,"MOQ 조정","정상")))</x:f>
      </x:c>
    </x:row>
    <x:row r="54">
      <x:c r="A54" s="71"/>
      <x:c r="B54" s="71"/>
      <x:c r="C54" s="72"/>
      <x:c r="D54" s="72"/>
      <x:c r="E54" s="72"/>
      <x:c r="F54" s="75" t="str">
        <x:f>IF($C54="","",SUMIFS('Input_OL'!$K$4:$K$200,'Input_OL'!$C$4:$C$200,C54,'Input_OL'!$F$4:$F$200,B54))</x:f>
      </x:c>
      <x:c r="G54" s="75" t="str">
        <x:f>IF($C54="","",SUMIFS('Input_Inventory'!$G$4:$G$200,'Input_Inventory'!$C$4:$C$200,C54))</x:f>
      </x:c>
      <x:c r="H54" s="75" t="str">
        <x:f>IF($C54="","",SUMIFS('Input_Inventory'!$L$4:$L$200,'Input_Inventory'!$C$4:$C$200,C54,'Input_Inventory'!$F$4:$F$200,B54))</x:f>
      </x:c>
      <x:c r="I54" s="75" t="str">
        <x:f>IF($C54="","",G54+H54)</x:f>
      </x:c>
      <x:c r="J54" s="75" t="str">
        <x:f>IF($C54="","",MAX(0,F54-I54))</x:f>
      </x:c>
      <x:c r="K54" s="75" t="str">
        <x:f>IF($C54="","",SUMIFS('Master_Rules'!$G$4:$G$200,'Master_Rules'!$D$4:$D$200,C54))</x:f>
      </x:c>
      <x:c r="L54" s="75" t="str">
        <x:f>IF($C54="","",SUMIFS('Master_Rules'!$H$4:$H$200,'Master_Rules'!$D$4:$D$200,C54))</x:f>
      </x:c>
      <x:c r="M54" s="75" t="str">
        <x:f>IF($C54="","",IF(K54=0,J54,MAX(K54,CEILING(J54,L54))))</x:f>
      </x:c>
      <x:c r="N54" s="75" t="str">
        <x:f>IF($C54="","",SUMIFS('Input_OL'!$G$4:$G$200,'Input_OL'!$C$4:$C$200,C54,'Input_OL'!$F$4:$F$200,B54))</x:f>
      </x:c>
      <x:c r="O54" s="75" t="str">
        <x:f>IF($C54="","",SUMIFS('Input_OL'!$G$4:$G$200,'Input_OL'!$C$4:$C$200,C54,'Input_OL'!$F$4:$F$200,B54))</x:f>
      </x:c>
      <x:c r="P54" s="75" t="str">
        <x:f>IF($C54="","",IF(N54=0,"확인필요",IF(ABS(M54-N54)/N54&lt;=0.2,"정상","Rule초과")))</x:f>
      </x:c>
      <x:c r="Q54" s="75" t="str">
        <x:f>IF($C54="","",IF(O54=0,"확인필요",IF(ABS(M54-O54)/O54&lt;=0.3,"정상","Rule초과")))</x:f>
      </x:c>
      <x:c r="R54" s="75" t="str">
        <x:f>IF($C54="","",M54)</x:f>
      </x:c>
      <x:c r="S54" s="75" t="str">
        <x:f>IF($C54="","",R54*SUMIFS('Master_Rules'!$J$4:$J$200,'Master_Rules'!$D$4:$D$200,C54))</x:f>
      </x:c>
      <x:c r="T54" s="72" t="str">
        <x:f>IF($C54="","",IF(OR(P54="Rule초과",Q54="Rule초과"),"Flex 확인",IF(R54&gt;J54,"MOQ 조정","정상")))</x:f>
      </x:c>
    </x:row>
    <x:row r="55">
      <x:c r="A55" s="71"/>
      <x:c r="B55" s="71"/>
      <x:c r="C55" s="72"/>
      <x:c r="D55" s="72"/>
      <x:c r="E55" s="72"/>
      <x:c r="F55" s="75" t="str">
        <x:f>IF($C55="","",SUMIFS('Input_OL'!$K$4:$K$200,'Input_OL'!$C$4:$C$200,C55,'Input_OL'!$F$4:$F$200,B55))</x:f>
      </x:c>
      <x:c r="G55" s="75" t="str">
        <x:f>IF($C55="","",SUMIFS('Input_Inventory'!$G$4:$G$200,'Input_Inventory'!$C$4:$C$200,C55))</x:f>
      </x:c>
      <x:c r="H55" s="75" t="str">
        <x:f>IF($C55="","",SUMIFS('Input_Inventory'!$L$4:$L$200,'Input_Inventory'!$C$4:$C$200,C55,'Input_Inventory'!$F$4:$F$200,B55))</x:f>
      </x:c>
      <x:c r="I55" s="75" t="str">
        <x:f>IF($C55="","",G55+H55)</x:f>
      </x:c>
      <x:c r="J55" s="75" t="str">
        <x:f>IF($C55="","",MAX(0,F55-I55))</x:f>
      </x:c>
      <x:c r="K55" s="75" t="str">
        <x:f>IF($C55="","",SUMIFS('Master_Rules'!$G$4:$G$200,'Master_Rules'!$D$4:$D$200,C55))</x:f>
      </x:c>
      <x:c r="L55" s="75" t="str">
        <x:f>IF($C55="","",SUMIFS('Master_Rules'!$H$4:$H$200,'Master_Rules'!$D$4:$D$200,C55))</x:f>
      </x:c>
      <x:c r="M55" s="75" t="str">
        <x:f>IF($C55="","",IF(K55=0,J55,MAX(K55,CEILING(J55,L55))))</x:f>
      </x:c>
      <x:c r="N55" s="75" t="str">
        <x:f>IF($C55="","",SUMIFS('Input_OL'!$G$4:$G$200,'Input_OL'!$C$4:$C$200,C55,'Input_OL'!$F$4:$F$200,B55))</x:f>
      </x:c>
      <x:c r="O55" s="75" t="str">
        <x:f>IF($C55="","",SUMIFS('Input_OL'!$G$4:$G$200,'Input_OL'!$C$4:$C$200,C55,'Input_OL'!$F$4:$F$200,B55))</x:f>
      </x:c>
      <x:c r="P55" s="75" t="str">
        <x:f>IF($C55="","",IF(N55=0,"확인필요",IF(ABS(M55-N55)/N55&lt;=0.2,"정상","Rule초과")))</x:f>
      </x:c>
      <x:c r="Q55" s="75" t="str">
        <x:f>IF($C55="","",IF(O55=0,"확인필요",IF(ABS(M55-O55)/O55&lt;=0.3,"정상","Rule초과")))</x:f>
      </x:c>
      <x:c r="R55" s="75" t="str">
        <x:f>IF($C55="","",M55)</x:f>
      </x:c>
      <x:c r="S55" s="75" t="str">
        <x:f>IF($C55="","",R55*SUMIFS('Master_Rules'!$J$4:$J$200,'Master_Rules'!$D$4:$D$200,C55))</x:f>
      </x:c>
      <x:c r="T55" s="72" t="str">
        <x:f>IF($C55="","",IF(OR(P55="Rule초과",Q55="Rule초과"),"Flex 확인",IF(R55&gt;J55,"MOQ 조정","정상")))</x:f>
      </x:c>
    </x:row>
    <x:row r="56">
      <x:c r="A56" s="71"/>
      <x:c r="B56" s="71"/>
      <x:c r="C56" s="72"/>
      <x:c r="D56" s="72"/>
      <x:c r="E56" s="72"/>
      <x:c r="F56" s="75" t="str">
        <x:f>IF($C56="","",SUMIFS('Input_OL'!$K$4:$K$200,'Input_OL'!$C$4:$C$200,C56,'Input_OL'!$F$4:$F$200,B56))</x:f>
      </x:c>
      <x:c r="G56" s="75" t="str">
        <x:f>IF($C56="","",SUMIFS('Input_Inventory'!$G$4:$G$200,'Input_Inventory'!$C$4:$C$200,C56))</x:f>
      </x:c>
      <x:c r="H56" s="75" t="str">
        <x:f>IF($C56="","",SUMIFS('Input_Inventory'!$L$4:$L$200,'Input_Inventory'!$C$4:$C$200,C56,'Input_Inventory'!$F$4:$F$200,B56))</x:f>
      </x:c>
      <x:c r="I56" s="75" t="str">
        <x:f>IF($C56="","",G56+H56)</x:f>
      </x:c>
      <x:c r="J56" s="75" t="str">
        <x:f>IF($C56="","",MAX(0,F56-I56))</x:f>
      </x:c>
      <x:c r="K56" s="75" t="str">
        <x:f>IF($C56="","",SUMIFS('Master_Rules'!$G$4:$G$200,'Master_Rules'!$D$4:$D$200,C56))</x:f>
      </x:c>
      <x:c r="L56" s="75" t="str">
        <x:f>IF($C56="","",SUMIFS('Master_Rules'!$H$4:$H$200,'Master_Rules'!$D$4:$D$200,C56))</x:f>
      </x:c>
      <x:c r="M56" s="75" t="str">
        <x:f>IF($C56="","",IF(K56=0,J56,MAX(K56,CEILING(J56,L56))))</x:f>
      </x:c>
      <x:c r="N56" s="75" t="str">
        <x:f>IF($C56="","",SUMIFS('Input_OL'!$G$4:$G$200,'Input_OL'!$C$4:$C$200,C56,'Input_OL'!$F$4:$F$200,B56))</x:f>
      </x:c>
      <x:c r="O56" s="75" t="str">
        <x:f>IF($C56="","",SUMIFS('Input_OL'!$G$4:$G$200,'Input_OL'!$C$4:$C$200,C56,'Input_OL'!$F$4:$F$200,B56))</x:f>
      </x:c>
      <x:c r="P56" s="75" t="str">
        <x:f>IF($C56="","",IF(N56=0,"확인필요",IF(ABS(M56-N56)/N56&lt;=0.2,"정상","Rule초과")))</x:f>
      </x:c>
      <x:c r="Q56" s="75" t="str">
        <x:f>IF($C56="","",IF(O56=0,"확인필요",IF(ABS(M56-O56)/O56&lt;=0.3,"정상","Rule초과")))</x:f>
      </x:c>
      <x:c r="R56" s="75" t="str">
        <x:f>IF($C56="","",M56)</x:f>
      </x:c>
      <x:c r="S56" s="75" t="str">
        <x:f>IF($C56="","",R56*SUMIFS('Master_Rules'!$J$4:$J$200,'Master_Rules'!$D$4:$D$200,C56))</x:f>
      </x:c>
      <x:c r="T56" s="72" t="str">
        <x:f>IF($C56="","",IF(OR(P56="Rule초과",Q56="Rule초과"),"Flex 확인",IF(R56&gt;J56,"MOQ 조정","정상")))</x:f>
      </x:c>
    </x:row>
    <x:row r="57">
      <x:c r="A57" s="71"/>
      <x:c r="B57" s="71"/>
      <x:c r="C57" s="72"/>
      <x:c r="D57" s="72"/>
      <x:c r="E57" s="72"/>
      <x:c r="F57" s="75" t="str">
        <x:f>IF($C57="","",SUMIFS('Input_OL'!$K$4:$K$200,'Input_OL'!$C$4:$C$200,C57,'Input_OL'!$F$4:$F$200,B57))</x:f>
      </x:c>
      <x:c r="G57" s="75" t="str">
        <x:f>IF($C57="","",SUMIFS('Input_Inventory'!$G$4:$G$200,'Input_Inventory'!$C$4:$C$200,C57))</x:f>
      </x:c>
      <x:c r="H57" s="75" t="str">
        <x:f>IF($C57="","",SUMIFS('Input_Inventory'!$L$4:$L$200,'Input_Inventory'!$C$4:$C$200,C57,'Input_Inventory'!$F$4:$F$200,B57))</x:f>
      </x:c>
      <x:c r="I57" s="75" t="str">
        <x:f>IF($C57="","",G57+H57)</x:f>
      </x:c>
      <x:c r="J57" s="75" t="str">
        <x:f>IF($C57="","",MAX(0,F57-I57))</x:f>
      </x:c>
      <x:c r="K57" s="75" t="str">
        <x:f>IF($C57="","",SUMIFS('Master_Rules'!$G$4:$G$200,'Master_Rules'!$D$4:$D$200,C57))</x:f>
      </x:c>
      <x:c r="L57" s="75" t="str">
        <x:f>IF($C57="","",SUMIFS('Master_Rules'!$H$4:$H$200,'Master_Rules'!$D$4:$D$200,C57))</x:f>
      </x:c>
      <x:c r="M57" s="75" t="str">
        <x:f>IF($C57="","",IF(K57=0,J57,MAX(K57,CEILING(J57,L57))))</x:f>
      </x:c>
      <x:c r="N57" s="75" t="str">
        <x:f>IF($C57="","",SUMIFS('Input_OL'!$G$4:$G$200,'Input_OL'!$C$4:$C$200,C57,'Input_OL'!$F$4:$F$200,B57))</x:f>
      </x:c>
      <x:c r="O57" s="75" t="str">
        <x:f>IF($C57="","",SUMIFS('Input_OL'!$G$4:$G$200,'Input_OL'!$C$4:$C$200,C57,'Input_OL'!$F$4:$F$200,B57))</x:f>
      </x:c>
      <x:c r="P57" s="75" t="str">
        <x:f>IF($C57="","",IF(N57=0,"확인필요",IF(ABS(M57-N57)/N57&lt;=0.2,"정상","Rule초과")))</x:f>
      </x:c>
      <x:c r="Q57" s="75" t="str">
        <x:f>IF($C57="","",IF(O57=0,"확인필요",IF(ABS(M57-O57)/O57&lt;=0.3,"정상","Rule초과")))</x:f>
      </x:c>
      <x:c r="R57" s="75" t="str">
        <x:f>IF($C57="","",M57)</x:f>
      </x:c>
      <x:c r="S57" s="75" t="str">
        <x:f>IF($C57="","",R57*SUMIFS('Master_Rules'!$J$4:$J$200,'Master_Rules'!$D$4:$D$200,C57))</x:f>
      </x:c>
      <x:c r="T57" s="72" t="str">
        <x:f>IF($C57="","",IF(OR(P57="Rule초과",Q57="Rule초과"),"Flex 확인",IF(R57&gt;J57,"MOQ 조정","정상")))</x:f>
      </x:c>
    </x:row>
    <x:row r="58">
      <x:c r="A58" s="71"/>
      <x:c r="B58" s="71"/>
      <x:c r="C58" s="72"/>
      <x:c r="D58" s="72"/>
      <x:c r="E58" s="72"/>
      <x:c r="F58" s="75" t="str">
        <x:f>IF($C58="","",SUMIFS('Input_OL'!$K$4:$K$200,'Input_OL'!$C$4:$C$200,C58,'Input_OL'!$F$4:$F$200,B58))</x:f>
      </x:c>
      <x:c r="G58" s="75" t="str">
        <x:f>IF($C58="","",SUMIFS('Input_Inventory'!$G$4:$G$200,'Input_Inventory'!$C$4:$C$200,C58))</x:f>
      </x:c>
      <x:c r="H58" s="75" t="str">
        <x:f>IF($C58="","",SUMIFS('Input_Inventory'!$L$4:$L$200,'Input_Inventory'!$C$4:$C$200,C58,'Input_Inventory'!$F$4:$F$200,B58))</x:f>
      </x:c>
      <x:c r="I58" s="75" t="str">
        <x:f>IF($C58="","",G58+H58)</x:f>
      </x:c>
      <x:c r="J58" s="75" t="str">
        <x:f>IF($C58="","",MAX(0,F58-I58))</x:f>
      </x:c>
      <x:c r="K58" s="75" t="str">
        <x:f>IF($C58="","",SUMIFS('Master_Rules'!$G$4:$G$200,'Master_Rules'!$D$4:$D$200,C58))</x:f>
      </x:c>
      <x:c r="L58" s="75" t="str">
        <x:f>IF($C58="","",SUMIFS('Master_Rules'!$H$4:$H$200,'Master_Rules'!$D$4:$D$200,C58))</x:f>
      </x:c>
      <x:c r="M58" s="75" t="str">
        <x:f>IF($C58="","",IF(K58=0,J58,MAX(K58,CEILING(J58,L58))))</x:f>
      </x:c>
      <x:c r="N58" s="75" t="str">
        <x:f>IF($C58="","",SUMIFS('Input_OL'!$G$4:$G$200,'Input_OL'!$C$4:$C$200,C58,'Input_OL'!$F$4:$F$200,B58))</x:f>
      </x:c>
      <x:c r="O58" s="75" t="str">
        <x:f>IF($C58="","",SUMIFS('Input_OL'!$G$4:$G$200,'Input_OL'!$C$4:$C$200,C58,'Input_OL'!$F$4:$F$200,B58))</x:f>
      </x:c>
      <x:c r="P58" s="75" t="str">
        <x:f>IF($C58="","",IF(N58=0,"확인필요",IF(ABS(M58-N58)/N58&lt;=0.2,"정상","Rule초과")))</x:f>
      </x:c>
      <x:c r="Q58" s="75" t="str">
        <x:f>IF($C58="","",IF(O58=0,"확인필요",IF(ABS(M58-O58)/O58&lt;=0.3,"정상","Rule초과")))</x:f>
      </x:c>
      <x:c r="R58" s="75" t="str">
        <x:f>IF($C58="","",M58)</x:f>
      </x:c>
      <x:c r="S58" s="75" t="str">
        <x:f>IF($C58="","",R58*SUMIFS('Master_Rules'!$J$4:$J$200,'Master_Rules'!$D$4:$D$200,C58))</x:f>
      </x:c>
      <x:c r="T58" s="72" t="str">
        <x:f>IF($C58="","",IF(OR(P58="Rule초과",Q58="Rule초과"),"Flex 확인",IF(R58&gt;J58,"MOQ 조정","정상")))</x:f>
      </x:c>
    </x:row>
    <x:row r="59">
      <x:c r="A59" s="71"/>
      <x:c r="B59" s="71"/>
      <x:c r="C59" s="72"/>
      <x:c r="D59" s="72"/>
      <x:c r="E59" s="72"/>
      <x:c r="F59" s="75" t="str">
        <x:f>IF($C59="","",SUMIFS('Input_OL'!$K$4:$K$200,'Input_OL'!$C$4:$C$200,C59,'Input_OL'!$F$4:$F$200,B59))</x:f>
      </x:c>
      <x:c r="G59" s="75" t="str">
        <x:f>IF($C59="","",SUMIFS('Input_Inventory'!$G$4:$G$200,'Input_Inventory'!$C$4:$C$200,C59))</x:f>
      </x:c>
      <x:c r="H59" s="75" t="str">
        <x:f>IF($C59="","",SUMIFS('Input_Inventory'!$L$4:$L$200,'Input_Inventory'!$C$4:$C$200,C59,'Input_Inventory'!$F$4:$F$200,B59))</x:f>
      </x:c>
      <x:c r="I59" s="75" t="str">
        <x:f>IF($C59="","",G59+H59)</x:f>
      </x:c>
      <x:c r="J59" s="75" t="str">
        <x:f>IF($C59="","",MAX(0,F59-I59))</x:f>
      </x:c>
      <x:c r="K59" s="75" t="str">
        <x:f>IF($C59="","",SUMIFS('Master_Rules'!$G$4:$G$200,'Master_Rules'!$D$4:$D$200,C59))</x:f>
      </x:c>
      <x:c r="L59" s="75" t="str">
        <x:f>IF($C59="","",SUMIFS('Master_Rules'!$H$4:$H$200,'Master_Rules'!$D$4:$D$200,C59))</x:f>
      </x:c>
      <x:c r="M59" s="75" t="str">
        <x:f>IF($C59="","",IF(K59=0,J59,MAX(K59,CEILING(J59,L59))))</x:f>
      </x:c>
      <x:c r="N59" s="75" t="str">
        <x:f>IF($C59="","",SUMIFS('Input_OL'!$G$4:$G$200,'Input_OL'!$C$4:$C$200,C59,'Input_OL'!$F$4:$F$200,B59))</x:f>
      </x:c>
      <x:c r="O59" s="75" t="str">
        <x:f>IF($C59="","",SUMIFS('Input_OL'!$G$4:$G$200,'Input_OL'!$C$4:$C$200,C59,'Input_OL'!$F$4:$F$200,B59))</x:f>
      </x:c>
      <x:c r="P59" s="75" t="str">
        <x:f>IF($C59="","",IF(N59=0,"확인필요",IF(ABS(M59-N59)/N59&lt;=0.2,"정상","Rule초과")))</x:f>
      </x:c>
      <x:c r="Q59" s="75" t="str">
        <x:f>IF($C59="","",IF(O59=0,"확인필요",IF(ABS(M59-O59)/O59&lt;=0.3,"정상","Rule초과")))</x:f>
      </x:c>
      <x:c r="R59" s="75" t="str">
        <x:f>IF($C59="","",M59)</x:f>
      </x:c>
      <x:c r="S59" s="75" t="str">
        <x:f>IF($C59="","",R59*SUMIFS('Master_Rules'!$J$4:$J$200,'Master_Rules'!$D$4:$D$200,C59))</x:f>
      </x:c>
      <x:c r="T59" s="72" t="str">
        <x:f>IF($C59="","",IF(OR(P59="Rule초과",Q59="Rule초과"),"Flex 확인",IF(R59&gt;J59,"MOQ 조정","정상")))</x:f>
      </x:c>
    </x:row>
    <x:row r="60">
      <x:c r="A60" s="71"/>
      <x:c r="B60" s="71"/>
      <x:c r="C60" s="72"/>
      <x:c r="D60" s="72"/>
      <x:c r="E60" s="72"/>
      <x:c r="F60" s="75" t="str">
        <x:f>IF($C60="","",SUMIFS('Input_OL'!$K$4:$K$200,'Input_OL'!$C$4:$C$200,C60,'Input_OL'!$F$4:$F$200,B60))</x:f>
      </x:c>
      <x:c r="G60" s="75" t="str">
        <x:f>IF($C60="","",SUMIFS('Input_Inventory'!$G$4:$G$200,'Input_Inventory'!$C$4:$C$200,C60))</x:f>
      </x:c>
      <x:c r="H60" s="75" t="str">
        <x:f>IF($C60="","",SUMIFS('Input_Inventory'!$L$4:$L$200,'Input_Inventory'!$C$4:$C$200,C60,'Input_Inventory'!$F$4:$F$200,B60))</x:f>
      </x:c>
      <x:c r="I60" s="75" t="str">
        <x:f>IF($C60="","",G60+H60)</x:f>
      </x:c>
      <x:c r="J60" s="75" t="str">
        <x:f>IF($C60="","",MAX(0,F60-I60))</x:f>
      </x:c>
      <x:c r="K60" s="75" t="str">
        <x:f>IF($C60="","",SUMIFS('Master_Rules'!$G$4:$G$200,'Master_Rules'!$D$4:$D$200,C60))</x:f>
      </x:c>
      <x:c r="L60" s="75" t="str">
        <x:f>IF($C60="","",SUMIFS('Master_Rules'!$H$4:$H$200,'Master_Rules'!$D$4:$D$200,C60))</x:f>
      </x:c>
      <x:c r="M60" s="75" t="str">
        <x:f>IF($C60="","",IF(K60=0,J60,MAX(K60,CEILING(J60,L60))))</x:f>
      </x:c>
      <x:c r="N60" s="75" t="str">
        <x:f>IF($C60="","",SUMIFS('Input_OL'!$G$4:$G$200,'Input_OL'!$C$4:$C$200,C60,'Input_OL'!$F$4:$F$200,B60))</x:f>
      </x:c>
      <x:c r="O60" s="75" t="str">
        <x:f>IF($C60="","",SUMIFS('Input_OL'!$G$4:$G$200,'Input_OL'!$C$4:$C$200,C60,'Input_OL'!$F$4:$F$200,B60))</x:f>
      </x:c>
      <x:c r="P60" s="75" t="str">
        <x:f>IF($C60="","",IF(N60=0,"확인필요",IF(ABS(M60-N60)/N60&lt;=0.2,"정상","Rule초과")))</x:f>
      </x:c>
      <x:c r="Q60" s="75" t="str">
        <x:f>IF($C60="","",IF(O60=0,"확인필요",IF(ABS(M60-O60)/O60&lt;=0.3,"정상","Rule초과")))</x:f>
      </x:c>
      <x:c r="R60" s="75" t="str">
        <x:f>IF($C60="","",M60)</x:f>
      </x:c>
      <x:c r="S60" s="75" t="str">
        <x:f>IF($C60="","",R60*SUMIFS('Master_Rules'!$J$4:$J$200,'Master_Rules'!$D$4:$D$200,C60))</x:f>
      </x:c>
      <x:c r="T60" s="72" t="str">
        <x:f>IF($C60="","",IF(OR(P60="Rule초과",Q60="Rule초과"),"Flex 확인",IF(R60&gt;J60,"MOQ 조정","정상")))</x:f>
      </x:c>
    </x:row>
    <x:row r="61">
      <x:c r="A61" s="71"/>
      <x:c r="B61" s="71"/>
      <x:c r="C61" s="72"/>
      <x:c r="D61" s="72"/>
      <x:c r="E61" s="72"/>
      <x:c r="F61" s="75" t="str">
        <x:f>IF($C61="","",SUMIFS('Input_OL'!$K$4:$K$200,'Input_OL'!$C$4:$C$200,C61,'Input_OL'!$F$4:$F$200,B61))</x:f>
      </x:c>
      <x:c r="G61" s="75" t="str">
        <x:f>IF($C61="","",SUMIFS('Input_Inventory'!$G$4:$G$200,'Input_Inventory'!$C$4:$C$200,C61))</x:f>
      </x:c>
      <x:c r="H61" s="75" t="str">
        <x:f>IF($C61="","",SUMIFS('Input_Inventory'!$L$4:$L$200,'Input_Inventory'!$C$4:$C$200,C61,'Input_Inventory'!$F$4:$F$200,B61))</x:f>
      </x:c>
      <x:c r="I61" s="75" t="str">
        <x:f>IF($C61="","",G61+H61)</x:f>
      </x:c>
      <x:c r="J61" s="75" t="str">
        <x:f>IF($C61="","",MAX(0,F61-I61))</x:f>
      </x:c>
      <x:c r="K61" s="75" t="str">
        <x:f>IF($C61="","",SUMIFS('Master_Rules'!$G$4:$G$200,'Master_Rules'!$D$4:$D$200,C61))</x:f>
      </x:c>
      <x:c r="L61" s="75" t="str">
        <x:f>IF($C61="","",SUMIFS('Master_Rules'!$H$4:$H$200,'Master_Rules'!$D$4:$D$200,C61))</x:f>
      </x:c>
      <x:c r="M61" s="75" t="str">
        <x:f>IF($C61="","",IF(K61=0,J61,MAX(K61,CEILING(J61,L61))))</x:f>
      </x:c>
      <x:c r="N61" s="75" t="str">
        <x:f>IF($C61="","",SUMIFS('Input_OL'!$G$4:$G$200,'Input_OL'!$C$4:$C$200,C61,'Input_OL'!$F$4:$F$200,B61))</x:f>
      </x:c>
      <x:c r="O61" s="75" t="str">
        <x:f>IF($C61="","",SUMIFS('Input_OL'!$G$4:$G$200,'Input_OL'!$C$4:$C$200,C61,'Input_OL'!$F$4:$F$200,B61))</x:f>
      </x:c>
      <x:c r="P61" s="75" t="str">
        <x:f>IF($C61="","",IF(N61=0,"확인필요",IF(ABS(M61-N61)/N61&lt;=0.2,"정상","Rule초과")))</x:f>
      </x:c>
      <x:c r="Q61" s="75" t="str">
        <x:f>IF($C61="","",IF(O61=0,"확인필요",IF(ABS(M61-O61)/O61&lt;=0.3,"정상","Rule초과")))</x:f>
      </x:c>
      <x:c r="R61" s="75" t="str">
        <x:f>IF($C61="","",M61)</x:f>
      </x:c>
      <x:c r="S61" s="75" t="str">
        <x:f>IF($C61="","",R61*SUMIFS('Master_Rules'!$J$4:$J$200,'Master_Rules'!$D$4:$D$200,C61))</x:f>
      </x:c>
      <x:c r="T61" s="72" t="str">
        <x:f>IF($C61="","",IF(OR(P61="Rule초과",Q61="Rule초과"),"Flex 확인",IF(R61&gt;J61,"MOQ 조정","정상")))</x:f>
      </x:c>
    </x:row>
    <x:row r="62">
      <x:c r="A62" s="71"/>
      <x:c r="B62" s="71"/>
      <x:c r="C62" s="72"/>
      <x:c r="D62" s="72"/>
      <x:c r="E62" s="72"/>
      <x:c r="F62" s="75" t="str">
        <x:f>IF($C62="","",SUMIFS('Input_OL'!$K$4:$K$200,'Input_OL'!$C$4:$C$200,C62,'Input_OL'!$F$4:$F$200,B62))</x:f>
      </x:c>
      <x:c r="G62" s="75" t="str">
        <x:f>IF($C62="","",SUMIFS('Input_Inventory'!$G$4:$G$200,'Input_Inventory'!$C$4:$C$200,C62))</x:f>
      </x:c>
      <x:c r="H62" s="75" t="str">
        <x:f>IF($C62="","",SUMIFS('Input_Inventory'!$L$4:$L$200,'Input_Inventory'!$C$4:$C$200,C62,'Input_Inventory'!$F$4:$F$200,B62))</x:f>
      </x:c>
      <x:c r="I62" s="75" t="str">
        <x:f>IF($C62="","",G62+H62)</x:f>
      </x:c>
      <x:c r="J62" s="75" t="str">
        <x:f>IF($C62="","",MAX(0,F62-I62))</x:f>
      </x:c>
      <x:c r="K62" s="75" t="str">
        <x:f>IF($C62="","",SUMIFS('Master_Rules'!$G$4:$G$200,'Master_Rules'!$D$4:$D$200,C62))</x:f>
      </x:c>
      <x:c r="L62" s="75" t="str">
        <x:f>IF($C62="","",SUMIFS('Master_Rules'!$H$4:$H$200,'Master_Rules'!$D$4:$D$200,C62))</x:f>
      </x:c>
      <x:c r="M62" s="75" t="str">
        <x:f>IF($C62="","",IF(K62=0,J62,MAX(K62,CEILING(J62,L62))))</x:f>
      </x:c>
      <x:c r="N62" s="75" t="str">
        <x:f>IF($C62="","",SUMIFS('Input_OL'!$G$4:$G$200,'Input_OL'!$C$4:$C$200,C62,'Input_OL'!$F$4:$F$200,B62))</x:f>
      </x:c>
      <x:c r="O62" s="75" t="str">
        <x:f>IF($C62="","",SUMIFS('Input_OL'!$G$4:$G$200,'Input_OL'!$C$4:$C$200,C62,'Input_OL'!$F$4:$F$200,B62))</x:f>
      </x:c>
      <x:c r="P62" s="75" t="str">
        <x:f>IF($C62="","",IF(N62=0,"확인필요",IF(ABS(M62-N62)/N62&lt;=0.2,"정상","Rule초과")))</x:f>
      </x:c>
      <x:c r="Q62" s="75" t="str">
        <x:f>IF($C62="","",IF(O62=0,"확인필요",IF(ABS(M62-O62)/O62&lt;=0.3,"정상","Rule초과")))</x:f>
      </x:c>
      <x:c r="R62" s="75" t="str">
        <x:f>IF($C62="","",M62)</x:f>
      </x:c>
      <x:c r="S62" s="75" t="str">
        <x:f>IF($C62="","",R62*SUMIFS('Master_Rules'!$J$4:$J$200,'Master_Rules'!$D$4:$D$200,C62))</x:f>
      </x:c>
      <x:c r="T62" s="72" t="str">
        <x:f>IF($C62="","",IF(OR(P62="Rule초과",Q62="Rule초과"),"Flex 확인",IF(R62&gt;J62,"MOQ 조정","정상")))</x:f>
      </x:c>
    </x:row>
    <x:row r="63">
      <x:c r="A63" s="71"/>
      <x:c r="B63" s="71"/>
      <x:c r="C63" s="72"/>
      <x:c r="D63" s="72"/>
      <x:c r="E63" s="72"/>
      <x:c r="F63" s="75" t="str">
        <x:f>IF($C63="","",SUMIFS('Input_OL'!$K$4:$K$200,'Input_OL'!$C$4:$C$200,C63,'Input_OL'!$F$4:$F$200,B63))</x:f>
      </x:c>
      <x:c r="G63" s="75" t="str">
        <x:f>IF($C63="","",SUMIFS('Input_Inventory'!$G$4:$G$200,'Input_Inventory'!$C$4:$C$200,C63))</x:f>
      </x:c>
      <x:c r="H63" s="75" t="str">
        <x:f>IF($C63="","",SUMIFS('Input_Inventory'!$L$4:$L$200,'Input_Inventory'!$C$4:$C$200,C63,'Input_Inventory'!$F$4:$F$200,B63))</x:f>
      </x:c>
      <x:c r="I63" s="75" t="str">
        <x:f>IF($C63="","",G63+H63)</x:f>
      </x:c>
      <x:c r="J63" s="75" t="str">
        <x:f>IF($C63="","",MAX(0,F63-I63))</x:f>
      </x:c>
      <x:c r="K63" s="75" t="str">
        <x:f>IF($C63="","",SUMIFS('Master_Rules'!$G$4:$G$200,'Master_Rules'!$D$4:$D$200,C63))</x:f>
      </x:c>
      <x:c r="L63" s="75" t="str">
        <x:f>IF($C63="","",SUMIFS('Master_Rules'!$H$4:$H$200,'Master_Rules'!$D$4:$D$200,C63))</x:f>
      </x:c>
      <x:c r="M63" s="75" t="str">
        <x:f>IF($C63="","",IF(K63=0,J63,MAX(K63,CEILING(J63,L63))))</x:f>
      </x:c>
      <x:c r="N63" s="75" t="str">
        <x:f>IF($C63="","",SUMIFS('Input_OL'!$G$4:$G$200,'Input_OL'!$C$4:$C$200,C63,'Input_OL'!$F$4:$F$200,B63))</x:f>
      </x:c>
      <x:c r="O63" s="75" t="str">
        <x:f>IF($C63="","",SUMIFS('Input_OL'!$G$4:$G$200,'Input_OL'!$C$4:$C$200,C63,'Input_OL'!$F$4:$F$200,B63))</x:f>
      </x:c>
      <x:c r="P63" s="75" t="str">
        <x:f>IF($C63="","",IF(N63=0,"확인필요",IF(ABS(M63-N63)/N63&lt;=0.2,"정상","Rule초과")))</x:f>
      </x:c>
      <x:c r="Q63" s="75" t="str">
        <x:f>IF($C63="","",IF(O63=0,"확인필요",IF(ABS(M63-O63)/O63&lt;=0.3,"정상","Rule초과")))</x:f>
      </x:c>
      <x:c r="R63" s="75" t="str">
        <x:f>IF($C63="","",M63)</x:f>
      </x:c>
      <x:c r="S63" s="75" t="str">
        <x:f>IF($C63="","",R63*SUMIFS('Master_Rules'!$J$4:$J$200,'Master_Rules'!$D$4:$D$200,C63))</x:f>
      </x:c>
      <x:c r="T63" s="72" t="str">
        <x:f>IF($C63="","",IF(OR(P63="Rule초과",Q63="Rule초과"),"Flex 확인",IF(R63&gt;J63,"MOQ 조정","정상")))</x:f>
      </x:c>
    </x:row>
    <x:row r="64">
      <x:c r="A64" s="71"/>
      <x:c r="B64" s="71"/>
      <x:c r="C64" s="72"/>
      <x:c r="D64" s="72"/>
      <x:c r="E64" s="72"/>
      <x:c r="F64" s="75" t="str">
        <x:f>IF($C64="","",SUMIFS('Input_OL'!$K$4:$K$200,'Input_OL'!$C$4:$C$200,C64,'Input_OL'!$F$4:$F$200,B64))</x:f>
      </x:c>
      <x:c r="G64" s="75" t="str">
        <x:f>IF($C64="","",SUMIFS('Input_Inventory'!$G$4:$G$200,'Input_Inventory'!$C$4:$C$200,C64))</x:f>
      </x:c>
      <x:c r="H64" s="75" t="str">
        <x:f>IF($C64="","",SUMIFS('Input_Inventory'!$L$4:$L$200,'Input_Inventory'!$C$4:$C$200,C64,'Input_Inventory'!$F$4:$F$200,B64))</x:f>
      </x:c>
      <x:c r="I64" s="75" t="str">
        <x:f>IF($C64="","",G64+H64)</x:f>
      </x:c>
      <x:c r="J64" s="75" t="str">
        <x:f>IF($C64="","",MAX(0,F64-I64))</x:f>
      </x:c>
      <x:c r="K64" s="75" t="str">
        <x:f>IF($C64="","",SUMIFS('Master_Rules'!$G$4:$G$200,'Master_Rules'!$D$4:$D$200,C64))</x:f>
      </x:c>
      <x:c r="L64" s="75" t="str">
        <x:f>IF($C64="","",SUMIFS('Master_Rules'!$H$4:$H$200,'Master_Rules'!$D$4:$D$200,C64))</x:f>
      </x:c>
      <x:c r="M64" s="75" t="str">
        <x:f>IF($C64="","",IF(K64=0,J64,MAX(K64,CEILING(J64,L64))))</x:f>
      </x:c>
      <x:c r="N64" s="75" t="str">
        <x:f>IF($C64="","",SUMIFS('Input_OL'!$G$4:$G$200,'Input_OL'!$C$4:$C$200,C64,'Input_OL'!$F$4:$F$200,B64))</x:f>
      </x:c>
      <x:c r="O64" s="75" t="str">
        <x:f>IF($C64="","",SUMIFS('Input_OL'!$G$4:$G$200,'Input_OL'!$C$4:$C$200,C64,'Input_OL'!$F$4:$F$200,B64))</x:f>
      </x:c>
      <x:c r="P64" s="75" t="str">
        <x:f>IF($C64="","",IF(N64=0,"확인필요",IF(ABS(M64-N64)/N64&lt;=0.2,"정상","Rule초과")))</x:f>
      </x:c>
      <x:c r="Q64" s="75" t="str">
        <x:f>IF($C64="","",IF(O64=0,"확인필요",IF(ABS(M64-O64)/O64&lt;=0.3,"정상","Rule초과")))</x:f>
      </x:c>
      <x:c r="R64" s="75" t="str">
        <x:f>IF($C64="","",M64)</x:f>
      </x:c>
      <x:c r="S64" s="75" t="str">
        <x:f>IF($C64="","",R64*SUMIFS('Master_Rules'!$J$4:$J$200,'Master_Rules'!$D$4:$D$200,C64))</x:f>
      </x:c>
      <x:c r="T64" s="72" t="str">
        <x:f>IF($C64="","",IF(OR(P64="Rule초과",Q64="Rule초과"),"Flex 확인",IF(R64&gt;J64,"MOQ 조정","정상")))</x:f>
      </x:c>
    </x:row>
    <x:row r="65">
      <x:c r="A65" s="71"/>
      <x:c r="B65" s="71"/>
      <x:c r="C65" s="72"/>
      <x:c r="D65" s="72"/>
      <x:c r="E65" s="72"/>
      <x:c r="F65" s="75" t="str">
        <x:f>IF($C65="","",SUMIFS('Input_OL'!$K$4:$K$200,'Input_OL'!$C$4:$C$200,C65,'Input_OL'!$F$4:$F$200,B65))</x:f>
      </x:c>
      <x:c r="G65" s="75" t="str">
        <x:f>IF($C65="","",SUMIFS('Input_Inventory'!$G$4:$G$200,'Input_Inventory'!$C$4:$C$200,C65))</x:f>
      </x:c>
      <x:c r="H65" s="75" t="str">
        <x:f>IF($C65="","",SUMIFS('Input_Inventory'!$L$4:$L$200,'Input_Inventory'!$C$4:$C$200,C65,'Input_Inventory'!$F$4:$F$200,B65))</x:f>
      </x:c>
      <x:c r="I65" s="75" t="str">
        <x:f>IF($C65="","",G65+H65)</x:f>
      </x:c>
      <x:c r="J65" s="75" t="str">
        <x:f>IF($C65="","",MAX(0,F65-I65))</x:f>
      </x:c>
      <x:c r="K65" s="75" t="str">
        <x:f>IF($C65="","",SUMIFS('Master_Rules'!$G$4:$G$200,'Master_Rules'!$D$4:$D$200,C65))</x:f>
      </x:c>
      <x:c r="L65" s="75" t="str">
        <x:f>IF($C65="","",SUMIFS('Master_Rules'!$H$4:$H$200,'Master_Rules'!$D$4:$D$200,C65))</x:f>
      </x:c>
      <x:c r="M65" s="75" t="str">
        <x:f>IF($C65="","",IF(K65=0,J65,MAX(K65,CEILING(J65,L65))))</x:f>
      </x:c>
      <x:c r="N65" s="75" t="str">
        <x:f>IF($C65="","",SUMIFS('Input_OL'!$G$4:$G$200,'Input_OL'!$C$4:$C$200,C65,'Input_OL'!$F$4:$F$200,B65))</x:f>
      </x:c>
      <x:c r="O65" s="75" t="str">
        <x:f>IF($C65="","",SUMIFS('Input_OL'!$G$4:$G$200,'Input_OL'!$C$4:$C$200,C65,'Input_OL'!$F$4:$F$200,B65))</x:f>
      </x:c>
      <x:c r="P65" s="75" t="str">
        <x:f>IF($C65="","",IF(N65=0,"확인필요",IF(ABS(M65-N65)/N65&lt;=0.2,"정상","Rule초과")))</x:f>
      </x:c>
      <x:c r="Q65" s="75" t="str">
        <x:f>IF($C65="","",IF(O65=0,"확인필요",IF(ABS(M65-O65)/O65&lt;=0.3,"정상","Rule초과")))</x:f>
      </x:c>
      <x:c r="R65" s="75" t="str">
        <x:f>IF($C65="","",M65)</x:f>
      </x:c>
      <x:c r="S65" s="75" t="str">
        <x:f>IF($C65="","",R65*SUMIFS('Master_Rules'!$J$4:$J$200,'Master_Rules'!$D$4:$D$200,C65))</x:f>
      </x:c>
      <x:c r="T65" s="72" t="str">
        <x:f>IF($C65="","",IF(OR(P65="Rule초과",Q65="Rule초과"),"Flex 확인",IF(R65&gt;J65,"MOQ 조정","정상")))</x:f>
      </x:c>
    </x:row>
    <x:row r="66">
      <x:c r="A66" s="71"/>
      <x:c r="B66" s="71"/>
      <x:c r="C66" s="72"/>
      <x:c r="D66" s="72"/>
      <x:c r="E66" s="72"/>
      <x:c r="F66" s="75" t="str">
        <x:f>IF($C66="","",SUMIFS('Input_OL'!$K$4:$K$200,'Input_OL'!$C$4:$C$200,C66,'Input_OL'!$F$4:$F$200,B66))</x:f>
      </x:c>
      <x:c r="G66" s="75" t="str">
        <x:f>IF($C66="","",SUMIFS('Input_Inventory'!$G$4:$G$200,'Input_Inventory'!$C$4:$C$200,C66))</x:f>
      </x:c>
      <x:c r="H66" s="75" t="str">
        <x:f>IF($C66="","",SUMIFS('Input_Inventory'!$L$4:$L$200,'Input_Inventory'!$C$4:$C$200,C66,'Input_Inventory'!$F$4:$F$200,B66))</x:f>
      </x:c>
      <x:c r="I66" s="75" t="str">
        <x:f>IF($C66="","",G66+H66)</x:f>
      </x:c>
      <x:c r="J66" s="75" t="str">
        <x:f>IF($C66="","",MAX(0,F66-I66))</x:f>
      </x:c>
      <x:c r="K66" s="75" t="str">
        <x:f>IF($C66="","",SUMIFS('Master_Rules'!$G$4:$G$200,'Master_Rules'!$D$4:$D$200,C66))</x:f>
      </x:c>
      <x:c r="L66" s="75" t="str">
        <x:f>IF($C66="","",SUMIFS('Master_Rules'!$H$4:$H$200,'Master_Rules'!$D$4:$D$200,C66))</x:f>
      </x:c>
      <x:c r="M66" s="75" t="str">
        <x:f>IF($C66="","",IF(K66=0,J66,MAX(K66,CEILING(J66,L66))))</x:f>
      </x:c>
      <x:c r="N66" s="75" t="str">
        <x:f>IF($C66="","",SUMIFS('Input_OL'!$G$4:$G$200,'Input_OL'!$C$4:$C$200,C66,'Input_OL'!$F$4:$F$200,B66))</x:f>
      </x:c>
      <x:c r="O66" s="75" t="str">
        <x:f>IF($C66="","",SUMIFS('Input_OL'!$G$4:$G$200,'Input_OL'!$C$4:$C$200,C66,'Input_OL'!$F$4:$F$200,B66))</x:f>
      </x:c>
      <x:c r="P66" s="75" t="str">
        <x:f>IF($C66="","",IF(N66=0,"확인필요",IF(ABS(M66-N66)/N66&lt;=0.2,"정상","Rule초과")))</x:f>
      </x:c>
      <x:c r="Q66" s="75" t="str">
        <x:f>IF($C66="","",IF(O66=0,"확인필요",IF(ABS(M66-O66)/O66&lt;=0.3,"정상","Rule초과")))</x:f>
      </x:c>
      <x:c r="R66" s="75" t="str">
        <x:f>IF($C66="","",M66)</x:f>
      </x:c>
      <x:c r="S66" s="75" t="str">
        <x:f>IF($C66="","",R66*SUMIFS('Master_Rules'!$J$4:$J$200,'Master_Rules'!$D$4:$D$200,C66))</x:f>
      </x:c>
      <x:c r="T66" s="72" t="str">
        <x:f>IF($C66="","",IF(OR(P66="Rule초과",Q66="Rule초과"),"Flex 확인",IF(R66&gt;J66,"MOQ 조정","정상")))</x:f>
      </x:c>
    </x:row>
    <x:row r="67">
      <x:c r="A67" s="71"/>
      <x:c r="B67" s="71"/>
      <x:c r="C67" s="72"/>
      <x:c r="D67" s="72"/>
      <x:c r="E67" s="72"/>
      <x:c r="F67" s="75" t="str">
        <x:f>IF($C67="","",SUMIFS('Input_OL'!$K$4:$K$200,'Input_OL'!$C$4:$C$200,C67,'Input_OL'!$F$4:$F$200,B67))</x:f>
      </x:c>
      <x:c r="G67" s="75" t="str">
        <x:f>IF($C67="","",SUMIFS('Input_Inventory'!$G$4:$G$200,'Input_Inventory'!$C$4:$C$200,C67))</x:f>
      </x:c>
      <x:c r="H67" s="75" t="str">
        <x:f>IF($C67="","",SUMIFS('Input_Inventory'!$L$4:$L$200,'Input_Inventory'!$C$4:$C$200,C67,'Input_Inventory'!$F$4:$F$200,B67))</x:f>
      </x:c>
      <x:c r="I67" s="75" t="str">
        <x:f>IF($C67="","",G67+H67)</x:f>
      </x:c>
      <x:c r="J67" s="75" t="str">
        <x:f>IF($C67="","",MAX(0,F67-I67))</x:f>
      </x:c>
      <x:c r="K67" s="75" t="str">
        <x:f>IF($C67="","",SUMIFS('Master_Rules'!$G$4:$G$200,'Master_Rules'!$D$4:$D$200,C67))</x:f>
      </x:c>
      <x:c r="L67" s="75" t="str">
        <x:f>IF($C67="","",SUMIFS('Master_Rules'!$H$4:$H$200,'Master_Rules'!$D$4:$D$200,C67))</x:f>
      </x:c>
      <x:c r="M67" s="75" t="str">
        <x:f>IF($C67="","",IF(K67=0,J67,MAX(K67,CEILING(J67,L67))))</x:f>
      </x:c>
      <x:c r="N67" s="75" t="str">
        <x:f>IF($C67="","",SUMIFS('Input_OL'!$G$4:$G$200,'Input_OL'!$C$4:$C$200,C67,'Input_OL'!$F$4:$F$200,B67))</x:f>
      </x:c>
      <x:c r="O67" s="75" t="str">
        <x:f>IF($C67="","",SUMIFS('Input_OL'!$G$4:$G$200,'Input_OL'!$C$4:$C$200,C67,'Input_OL'!$F$4:$F$200,B67))</x:f>
      </x:c>
      <x:c r="P67" s="75" t="str">
        <x:f>IF($C67="","",IF(N67=0,"확인필요",IF(ABS(M67-N67)/N67&lt;=0.2,"정상","Rule초과")))</x:f>
      </x:c>
      <x:c r="Q67" s="75" t="str">
        <x:f>IF($C67="","",IF(O67=0,"확인필요",IF(ABS(M67-O67)/O67&lt;=0.3,"정상","Rule초과")))</x:f>
      </x:c>
      <x:c r="R67" s="75" t="str">
        <x:f>IF($C67="","",M67)</x:f>
      </x:c>
      <x:c r="S67" s="75" t="str">
        <x:f>IF($C67="","",R67*SUMIFS('Master_Rules'!$J$4:$J$200,'Master_Rules'!$D$4:$D$200,C67))</x:f>
      </x:c>
      <x:c r="T67" s="72" t="str">
        <x:f>IF($C67="","",IF(OR(P67="Rule초과",Q67="Rule초과"),"Flex 확인",IF(R67&gt;J67,"MOQ 조정","정상")))</x:f>
      </x:c>
    </x:row>
    <x:row r="68">
      <x:c r="A68" s="71"/>
      <x:c r="B68" s="71"/>
      <x:c r="C68" s="72"/>
      <x:c r="D68" s="72"/>
      <x:c r="E68" s="72"/>
      <x:c r="F68" s="75" t="str">
        <x:f>IF($C68="","",SUMIFS('Input_OL'!$K$4:$K$200,'Input_OL'!$C$4:$C$200,C68,'Input_OL'!$F$4:$F$200,B68))</x:f>
      </x:c>
      <x:c r="G68" s="75" t="str">
        <x:f>IF($C68="","",SUMIFS('Input_Inventory'!$G$4:$G$200,'Input_Inventory'!$C$4:$C$200,C68))</x:f>
      </x:c>
      <x:c r="H68" s="75" t="str">
        <x:f>IF($C68="","",SUMIFS('Input_Inventory'!$L$4:$L$200,'Input_Inventory'!$C$4:$C$200,C68,'Input_Inventory'!$F$4:$F$200,B68))</x:f>
      </x:c>
      <x:c r="I68" s="75" t="str">
        <x:f>IF($C68="","",G68+H68)</x:f>
      </x:c>
      <x:c r="J68" s="75" t="str">
        <x:f>IF($C68="","",MAX(0,F68-I68))</x:f>
      </x:c>
      <x:c r="K68" s="75" t="str">
        <x:f>IF($C68="","",SUMIFS('Master_Rules'!$G$4:$G$200,'Master_Rules'!$D$4:$D$200,C68))</x:f>
      </x:c>
      <x:c r="L68" s="75" t="str">
        <x:f>IF($C68="","",SUMIFS('Master_Rules'!$H$4:$H$200,'Master_Rules'!$D$4:$D$200,C68))</x:f>
      </x:c>
      <x:c r="M68" s="75" t="str">
        <x:f>IF($C68="","",IF(K68=0,J68,MAX(K68,CEILING(J68,L68))))</x:f>
      </x:c>
      <x:c r="N68" s="75" t="str">
        <x:f>IF($C68="","",SUMIFS('Input_OL'!$G$4:$G$200,'Input_OL'!$C$4:$C$200,C68,'Input_OL'!$F$4:$F$200,B68))</x:f>
      </x:c>
      <x:c r="O68" s="75" t="str">
        <x:f>IF($C68="","",SUMIFS('Input_OL'!$G$4:$G$200,'Input_OL'!$C$4:$C$200,C68,'Input_OL'!$F$4:$F$200,B68))</x:f>
      </x:c>
      <x:c r="P68" s="75" t="str">
        <x:f>IF($C68="","",IF(N68=0,"확인필요",IF(ABS(M68-N68)/N68&lt;=0.2,"정상","Rule초과")))</x:f>
      </x:c>
      <x:c r="Q68" s="75" t="str">
        <x:f>IF($C68="","",IF(O68=0,"확인필요",IF(ABS(M68-O68)/O68&lt;=0.3,"정상","Rule초과")))</x:f>
      </x:c>
      <x:c r="R68" s="75" t="str">
        <x:f>IF($C68="","",M68)</x:f>
      </x:c>
      <x:c r="S68" s="75" t="str">
        <x:f>IF($C68="","",R68*SUMIFS('Master_Rules'!$J$4:$J$200,'Master_Rules'!$D$4:$D$200,C68))</x:f>
      </x:c>
      <x:c r="T68" s="72" t="str">
        <x:f>IF($C68="","",IF(OR(P68="Rule초과",Q68="Rule초과"),"Flex 확인",IF(R68&gt;J68,"MOQ 조정","정상")))</x:f>
      </x:c>
    </x:row>
    <x:row r="69">
      <x:c r="A69" s="71"/>
      <x:c r="B69" s="71"/>
      <x:c r="C69" s="72"/>
      <x:c r="D69" s="72"/>
      <x:c r="E69" s="72"/>
      <x:c r="F69" s="75" t="str">
        <x:f>IF($C69="","",SUMIFS('Input_OL'!$K$4:$K$200,'Input_OL'!$C$4:$C$200,C69,'Input_OL'!$F$4:$F$200,B69))</x:f>
      </x:c>
      <x:c r="G69" s="75" t="str">
        <x:f>IF($C69="","",SUMIFS('Input_Inventory'!$G$4:$G$200,'Input_Inventory'!$C$4:$C$200,C69))</x:f>
      </x:c>
      <x:c r="H69" s="75" t="str">
        <x:f>IF($C69="","",SUMIFS('Input_Inventory'!$L$4:$L$200,'Input_Inventory'!$C$4:$C$200,C69,'Input_Inventory'!$F$4:$F$200,B69))</x:f>
      </x:c>
      <x:c r="I69" s="75" t="str">
        <x:f>IF($C69="","",G69+H69)</x:f>
      </x:c>
      <x:c r="J69" s="75" t="str">
        <x:f>IF($C69="","",MAX(0,F69-I69))</x:f>
      </x:c>
      <x:c r="K69" s="75" t="str">
        <x:f>IF($C69="","",SUMIFS('Master_Rules'!$G$4:$G$200,'Master_Rules'!$D$4:$D$200,C69))</x:f>
      </x:c>
      <x:c r="L69" s="75" t="str">
        <x:f>IF($C69="","",SUMIFS('Master_Rules'!$H$4:$H$200,'Master_Rules'!$D$4:$D$200,C69))</x:f>
      </x:c>
      <x:c r="M69" s="75" t="str">
        <x:f>IF($C69="","",IF(K69=0,J69,MAX(K69,CEILING(J69,L69))))</x:f>
      </x:c>
      <x:c r="N69" s="75" t="str">
        <x:f>IF($C69="","",SUMIFS('Input_OL'!$G$4:$G$200,'Input_OL'!$C$4:$C$200,C69,'Input_OL'!$F$4:$F$200,B69))</x:f>
      </x:c>
      <x:c r="O69" s="75" t="str">
        <x:f>IF($C69="","",SUMIFS('Input_OL'!$G$4:$G$200,'Input_OL'!$C$4:$C$200,C69,'Input_OL'!$F$4:$F$200,B69))</x:f>
      </x:c>
      <x:c r="P69" s="75" t="str">
        <x:f>IF($C69="","",IF(N69=0,"확인필요",IF(ABS(M69-N69)/N69&lt;=0.2,"정상","Rule초과")))</x:f>
      </x:c>
      <x:c r="Q69" s="75" t="str">
        <x:f>IF($C69="","",IF(O69=0,"확인필요",IF(ABS(M69-O69)/O69&lt;=0.3,"정상","Rule초과")))</x:f>
      </x:c>
      <x:c r="R69" s="75" t="str">
        <x:f>IF($C69="","",M69)</x:f>
      </x:c>
      <x:c r="S69" s="75" t="str">
        <x:f>IF($C69="","",R69*SUMIFS('Master_Rules'!$J$4:$J$200,'Master_Rules'!$D$4:$D$200,C69))</x:f>
      </x:c>
      <x:c r="T69" s="72" t="str">
        <x:f>IF($C69="","",IF(OR(P69="Rule초과",Q69="Rule초과"),"Flex 확인",IF(R69&gt;J69,"MOQ 조정","정상")))</x:f>
      </x:c>
    </x:row>
    <x:row r="70">
      <x:c r="A70" s="71"/>
      <x:c r="B70" s="71"/>
      <x:c r="C70" s="72"/>
      <x:c r="D70" s="72"/>
      <x:c r="E70" s="72"/>
      <x:c r="F70" s="75" t="str">
        <x:f>IF($C70="","",SUMIFS('Input_OL'!$K$4:$K$200,'Input_OL'!$C$4:$C$200,C70,'Input_OL'!$F$4:$F$200,B70))</x:f>
      </x:c>
      <x:c r="G70" s="75" t="str">
        <x:f>IF($C70="","",SUMIFS('Input_Inventory'!$G$4:$G$200,'Input_Inventory'!$C$4:$C$200,C70))</x:f>
      </x:c>
      <x:c r="H70" s="75" t="str">
        <x:f>IF($C70="","",SUMIFS('Input_Inventory'!$L$4:$L$200,'Input_Inventory'!$C$4:$C$200,C70,'Input_Inventory'!$F$4:$F$200,B70))</x:f>
      </x:c>
      <x:c r="I70" s="75" t="str">
        <x:f>IF($C70="","",G70+H70)</x:f>
      </x:c>
      <x:c r="J70" s="75" t="str">
        <x:f>IF($C70="","",MAX(0,F70-I70))</x:f>
      </x:c>
      <x:c r="K70" s="75" t="str">
        <x:f>IF($C70="","",SUMIFS('Master_Rules'!$G$4:$G$200,'Master_Rules'!$D$4:$D$200,C70))</x:f>
      </x:c>
      <x:c r="L70" s="75" t="str">
        <x:f>IF($C70="","",SUMIFS('Master_Rules'!$H$4:$H$200,'Master_Rules'!$D$4:$D$200,C70))</x:f>
      </x:c>
      <x:c r="M70" s="75" t="str">
        <x:f>IF($C70="","",IF(K70=0,J70,MAX(K70,CEILING(J70,L70))))</x:f>
      </x:c>
      <x:c r="N70" s="75" t="str">
        <x:f>IF($C70="","",SUMIFS('Input_OL'!$G$4:$G$200,'Input_OL'!$C$4:$C$200,C70,'Input_OL'!$F$4:$F$200,B70))</x:f>
      </x:c>
      <x:c r="O70" s="75" t="str">
        <x:f>IF($C70="","",SUMIFS('Input_OL'!$G$4:$G$200,'Input_OL'!$C$4:$C$200,C70,'Input_OL'!$F$4:$F$200,B70))</x:f>
      </x:c>
      <x:c r="P70" s="75" t="str">
        <x:f>IF($C70="","",IF(N70=0,"확인필요",IF(ABS(M70-N70)/N70&lt;=0.2,"정상","Rule초과")))</x:f>
      </x:c>
      <x:c r="Q70" s="75" t="str">
        <x:f>IF($C70="","",IF(O70=0,"확인필요",IF(ABS(M70-O70)/O70&lt;=0.3,"정상","Rule초과")))</x:f>
      </x:c>
      <x:c r="R70" s="75" t="str">
        <x:f>IF($C70="","",M70)</x:f>
      </x:c>
      <x:c r="S70" s="75" t="str">
        <x:f>IF($C70="","",R70*SUMIFS('Master_Rules'!$J$4:$J$200,'Master_Rules'!$D$4:$D$200,C70))</x:f>
      </x:c>
      <x:c r="T70" s="72" t="str">
        <x:f>IF($C70="","",IF(OR(P70="Rule초과",Q70="Rule초과"),"Flex 확인",IF(R70&gt;J70,"MOQ 조정","정상")))</x:f>
      </x:c>
    </x:row>
    <x:row r="71">
      <x:c r="A71" s="71"/>
      <x:c r="B71" s="71"/>
      <x:c r="C71" s="72"/>
      <x:c r="D71" s="72"/>
      <x:c r="E71" s="72"/>
      <x:c r="F71" s="75" t="str">
        <x:f>IF($C71="","",SUMIFS('Input_OL'!$K$4:$K$200,'Input_OL'!$C$4:$C$200,C71,'Input_OL'!$F$4:$F$200,B71))</x:f>
      </x:c>
      <x:c r="G71" s="75" t="str">
        <x:f>IF($C71="","",SUMIFS('Input_Inventory'!$G$4:$G$200,'Input_Inventory'!$C$4:$C$200,C71))</x:f>
      </x:c>
      <x:c r="H71" s="75" t="str">
        <x:f>IF($C71="","",SUMIFS('Input_Inventory'!$L$4:$L$200,'Input_Inventory'!$C$4:$C$200,C71,'Input_Inventory'!$F$4:$F$200,B71))</x:f>
      </x:c>
      <x:c r="I71" s="75" t="str">
        <x:f>IF($C71="","",G71+H71)</x:f>
      </x:c>
      <x:c r="J71" s="75" t="str">
        <x:f>IF($C71="","",MAX(0,F71-I71))</x:f>
      </x:c>
      <x:c r="K71" s="75" t="str">
        <x:f>IF($C71="","",SUMIFS('Master_Rules'!$G$4:$G$200,'Master_Rules'!$D$4:$D$200,C71))</x:f>
      </x:c>
      <x:c r="L71" s="75" t="str">
        <x:f>IF($C71="","",SUMIFS('Master_Rules'!$H$4:$H$200,'Master_Rules'!$D$4:$D$200,C71))</x:f>
      </x:c>
      <x:c r="M71" s="75" t="str">
        <x:f>IF($C71="","",IF(K71=0,J71,MAX(K71,CEILING(J71,L71))))</x:f>
      </x:c>
      <x:c r="N71" s="75" t="str">
        <x:f>IF($C71="","",SUMIFS('Input_OL'!$G$4:$G$200,'Input_OL'!$C$4:$C$200,C71,'Input_OL'!$F$4:$F$200,B71))</x:f>
      </x:c>
      <x:c r="O71" s="75" t="str">
        <x:f>IF($C71="","",SUMIFS('Input_OL'!$G$4:$G$200,'Input_OL'!$C$4:$C$200,C71,'Input_OL'!$F$4:$F$200,B71))</x:f>
      </x:c>
      <x:c r="P71" s="75" t="str">
        <x:f>IF($C71="","",IF(N71=0,"확인필요",IF(ABS(M71-N71)/N71&lt;=0.2,"정상","Rule초과")))</x:f>
      </x:c>
      <x:c r="Q71" s="75" t="str">
        <x:f>IF($C71="","",IF(O71=0,"확인필요",IF(ABS(M71-O71)/O71&lt;=0.3,"정상","Rule초과")))</x:f>
      </x:c>
      <x:c r="R71" s="75" t="str">
        <x:f>IF($C71="","",M71)</x:f>
      </x:c>
      <x:c r="S71" s="75" t="str">
        <x:f>IF($C71="","",R71*SUMIFS('Master_Rules'!$J$4:$J$200,'Master_Rules'!$D$4:$D$200,C71))</x:f>
      </x:c>
      <x:c r="T71" s="72" t="str">
        <x:f>IF($C71="","",IF(OR(P71="Rule초과",Q71="Rule초과"),"Flex 확인",IF(R71&gt;J71,"MOQ 조정","정상")))</x:f>
      </x:c>
    </x:row>
    <x:row r="72">
      <x:c r="A72" s="71"/>
      <x:c r="B72" s="71"/>
      <x:c r="C72" s="72"/>
      <x:c r="D72" s="72"/>
      <x:c r="E72" s="72"/>
      <x:c r="F72" s="75" t="str">
        <x:f>IF($C72="","",SUMIFS('Input_OL'!$K$4:$K$200,'Input_OL'!$C$4:$C$200,C72,'Input_OL'!$F$4:$F$200,B72))</x:f>
      </x:c>
      <x:c r="G72" s="75" t="str">
        <x:f>IF($C72="","",SUMIFS('Input_Inventory'!$G$4:$G$200,'Input_Inventory'!$C$4:$C$200,C72))</x:f>
      </x:c>
      <x:c r="H72" s="75" t="str">
        <x:f>IF($C72="","",SUMIFS('Input_Inventory'!$L$4:$L$200,'Input_Inventory'!$C$4:$C$200,C72,'Input_Inventory'!$F$4:$F$200,B72))</x:f>
      </x:c>
      <x:c r="I72" s="75" t="str">
        <x:f>IF($C72="","",G72+H72)</x:f>
      </x:c>
      <x:c r="J72" s="75" t="str">
        <x:f>IF($C72="","",MAX(0,F72-I72))</x:f>
      </x:c>
      <x:c r="K72" s="75" t="str">
        <x:f>IF($C72="","",SUMIFS('Master_Rules'!$G$4:$G$200,'Master_Rules'!$D$4:$D$200,C72))</x:f>
      </x:c>
      <x:c r="L72" s="75" t="str">
        <x:f>IF($C72="","",SUMIFS('Master_Rules'!$H$4:$H$200,'Master_Rules'!$D$4:$D$200,C72))</x:f>
      </x:c>
      <x:c r="M72" s="75" t="str">
        <x:f>IF($C72="","",IF(K72=0,J72,MAX(K72,CEILING(J72,L72))))</x:f>
      </x:c>
      <x:c r="N72" s="75" t="str">
        <x:f>IF($C72="","",SUMIFS('Input_OL'!$G$4:$G$200,'Input_OL'!$C$4:$C$200,C72,'Input_OL'!$F$4:$F$200,B72))</x:f>
      </x:c>
      <x:c r="O72" s="75" t="str">
        <x:f>IF($C72="","",SUMIFS('Input_OL'!$G$4:$G$200,'Input_OL'!$C$4:$C$200,C72,'Input_OL'!$F$4:$F$200,B72))</x:f>
      </x:c>
      <x:c r="P72" s="75" t="str">
        <x:f>IF($C72="","",IF(N72=0,"확인필요",IF(ABS(M72-N72)/N72&lt;=0.2,"정상","Rule초과")))</x:f>
      </x:c>
      <x:c r="Q72" s="75" t="str">
        <x:f>IF($C72="","",IF(O72=0,"확인필요",IF(ABS(M72-O72)/O72&lt;=0.3,"정상","Rule초과")))</x:f>
      </x:c>
      <x:c r="R72" s="75" t="str">
        <x:f>IF($C72="","",M72)</x:f>
      </x:c>
      <x:c r="S72" s="75" t="str">
        <x:f>IF($C72="","",R72*SUMIFS('Master_Rules'!$J$4:$J$200,'Master_Rules'!$D$4:$D$200,C72))</x:f>
      </x:c>
      <x:c r="T72" s="72" t="str">
        <x:f>IF($C72="","",IF(OR(P72="Rule초과",Q72="Rule초과"),"Flex 확인",IF(R72&gt;J72,"MOQ 조정","정상")))</x:f>
      </x:c>
    </x:row>
    <x:row r="73">
      <x:c r="A73" s="71"/>
      <x:c r="B73" s="71"/>
      <x:c r="C73" s="72"/>
      <x:c r="D73" s="72"/>
      <x:c r="E73" s="72"/>
      <x:c r="F73" s="75" t="str">
        <x:f>IF($C73="","",SUMIFS('Input_OL'!$K$4:$K$200,'Input_OL'!$C$4:$C$200,C73,'Input_OL'!$F$4:$F$200,B73))</x:f>
      </x:c>
      <x:c r="G73" s="75" t="str">
        <x:f>IF($C73="","",SUMIFS('Input_Inventory'!$G$4:$G$200,'Input_Inventory'!$C$4:$C$200,C73))</x:f>
      </x:c>
      <x:c r="H73" s="75" t="str">
        <x:f>IF($C73="","",SUMIFS('Input_Inventory'!$L$4:$L$200,'Input_Inventory'!$C$4:$C$200,C73,'Input_Inventory'!$F$4:$F$200,B73))</x:f>
      </x:c>
      <x:c r="I73" s="75" t="str">
        <x:f>IF($C73="","",G73+H73)</x:f>
      </x:c>
      <x:c r="J73" s="75" t="str">
        <x:f>IF($C73="","",MAX(0,F73-I73))</x:f>
      </x:c>
      <x:c r="K73" s="75" t="str">
        <x:f>IF($C73="","",SUMIFS('Master_Rules'!$G$4:$G$200,'Master_Rules'!$D$4:$D$200,C73))</x:f>
      </x:c>
      <x:c r="L73" s="75" t="str">
        <x:f>IF($C73="","",SUMIFS('Master_Rules'!$H$4:$H$200,'Master_Rules'!$D$4:$D$200,C73))</x:f>
      </x:c>
      <x:c r="M73" s="75" t="str">
        <x:f>IF($C73="","",IF(K73=0,J73,MAX(K73,CEILING(J73,L73))))</x:f>
      </x:c>
      <x:c r="N73" s="75" t="str">
        <x:f>IF($C73="","",SUMIFS('Input_OL'!$G$4:$G$200,'Input_OL'!$C$4:$C$200,C73,'Input_OL'!$F$4:$F$200,B73))</x:f>
      </x:c>
      <x:c r="O73" s="75" t="str">
        <x:f>IF($C73="","",SUMIFS('Input_OL'!$G$4:$G$200,'Input_OL'!$C$4:$C$200,C73,'Input_OL'!$F$4:$F$200,B73))</x:f>
      </x:c>
      <x:c r="P73" s="75" t="str">
        <x:f>IF($C73="","",IF(N73=0,"확인필요",IF(ABS(M73-N73)/N73&lt;=0.2,"정상","Rule초과")))</x:f>
      </x:c>
      <x:c r="Q73" s="75" t="str">
        <x:f>IF($C73="","",IF(O73=0,"확인필요",IF(ABS(M73-O73)/O73&lt;=0.3,"정상","Rule초과")))</x:f>
      </x:c>
      <x:c r="R73" s="75" t="str">
        <x:f>IF($C73="","",M73)</x:f>
      </x:c>
      <x:c r="S73" s="75" t="str">
        <x:f>IF($C73="","",R73*SUMIFS('Master_Rules'!$J$4:$J$200,'Master_Rules'!$D$4:$D$200,C73))</x:f>
      </x:c>
      <x:c r="T73" s="72" t="str">
        <x:f>IF($C73="","",IF(OR(P73="Rule초과",Q73="Rule초과"),"Flex 확인",IF(R73&gt;J73,"MOQ 조정","정상")))</x:f>
      </x:c>
    </x:row>
    <x:row r="74">
      <x:c r="A74" s="71"/>
      <x:c r="B74" s="71"/>
      <x:c r="C74" s="72"/>
      <x:c r="D74" s="72"/>
      <x:c r="E74" s="72"/>
      <x:c r="F74" s="75" t="str">
        <x:f>IF($C74="","",SUMIFS('Input_OL'!$K$4:$K$200,'Input_OL'!$C$4:$C$200,C74,'Input_OL'!$F$4:$F$200,B74))</x:f>
      </x:c>
      <x:c r="G74" s="75" t="str">
        <x:f>IF($C74="","",SUMIFS('Input_Inventory'!$G$4:$G$200,'Input_Inventory'!$C$4:$C$200,C74))</x:f>
      </x:c>
      <x:c r="H74" s="75" t="str">
        <x:f>IF($C74="","",SUMIFS('Input_Inventory'!$L$4:$L$200,'Input_Inventory'!$C$4:$C$200,C74,'Input_Inventory'!$F$4:$F$200,B74))</x:f>
      </x:c>
      <x:c r="I74" s="75" t="str">
        <x:f>IF($C74="","",G74+H74)</x:f>
      </x:c>
      <x:c r="J74" s="75" t="str">
        <x:f>IF($C74="","",MAX(0,F74-I74))</x:f>
      </x:c>
      <x:c r="K74" s="75" t="str">
        <x:f>IF($C74="","",SUMIFS('Master_Rules'!$G$4:$G$200,'Master_Rules'!$D$4:$D$200,C74))</x:f>
      </x:c>
      <x:c r="L74" s="75" t="str">
        <x:f>IF($C74="","",SUMIFS('Master_Rules'!$H$4:$H$200,'Master_Rules'!$D$4:$D$200,C74))</x:f>
      </x:c>
      <x:c r="M74" s="75" t="str">
        <x:f>IF($C74="","",IF(K74=0,J74,MAX(K74,CEILING(J74,L74))))</x:f>
      </x:c>
      <x:c r="N74" s="75" t="str">
        <x:f>IF($C74="","",SUMIFS('Input_OL'!$G$4:$G$200,'Input_OL'!$C$4:$C$200,C74,'Input_OL'!$F$4:$F$200,B74))</x:f>
      </x:c>
      <x:c r="O74" s="75" t="str">
        <x:f>IF($C74="","",SUMIFS('Input_OL'!$G$4:$G$200,'Input_OL'!$C$4:$C$200,C74,'Input_OL'!$F$4:$F$200,B74))</x:f>
      </x:c>
      <x:c r="P74" s="75" t="str">
        <x:f>IF($C74="","",IF(N74=0,"확인필요",IF(ABS(M74-N74)/N74&lt;=0.2,"정상","Rule초과")))</x:f>
      </x:c>
      <x:c r="Q74" s="75" t="str">
        <x:f>IF($C74="","",IF(O74=0,"확인필요",IF(ABS(M74-O74)/O74&lt;=0.3,"정상","Rule초과")))</x:f>
      </x:c>
      <x:c r="R74" s="75" t="str">
        <x:f>IF($C74="","",M74)</x:f>
      </x:c>
      <x:c r="S74" s="75" t="str">
        <x:f>IF($C74="","",R74*SUMIFS('Master_Rules'!$J$4:$J$200,'Master_Rules'!$D$4:$D$200,C74))</x:f>
      </x:c>
      <x:c r="T74" s="72" t="str">
        <x:f>IF($C74="","",IF(OR(P74="Rule초과",Q74="Rule초과"),"Flex 확인",IF(R74&gt;J74,"MOQ 조정","정상")))</x:f>
      </x:c>
    </x:row>
    <x:row r="75">
      <x:c r="A75" s="71"/>
      <x:c r="B75" s="71"/>
      <x:c r="C75" s="72"/>
      <x:c r="D75" s="72"/>
      <x:c r="E75" s="72"/>
      <x:c r="F75" s="75" t="str">
        <x:f>IF($C75="","",SUMIFS('Input_OL'!$K$4:$K$200,'Input_OL'!$C$4:$C$200,C75,'Input_OL'!$F$4:$F$200,B75))</x:f>
      </x:c>
      <x:c r="G75" s="75" t="str">
        <x:f>IF($C75="","",SUMIFS('Input_Inventory'!$G$4:$G$200,'Input_Inventory'!$C$4:$C$200,C75))</x:f>
      </x:c>
      <x:c r="H75" s="75" t="str">
        <x:f>IF($C75="","",SUMIFS('Input_Inventory'!$L$4:$L$200,'Input_Inventory'!$C$4:$C$200,C75,'Input_Inventory'!$F$4:$F$200,B75))</x:f>
      </x:c>
      <x:c r="I75" s="75" t="str">
        <x:f>IF($C75="","",G75+H75)</x:f>
      </x:c>
      <x:c r="J75" s="75" t="str">
        <x:f>IF($C75="","",MAX(0,F75-I75))</x:f>
      </x:c>
      <x:c r="K75" s="75" t="str">
        <x:f>IF($C75="","",SUMIFS('Master_Rules'!$G$4:$G$200,'Master_Rules'!$D$4:$D$200,C75))</x:f>
      </x:c>
      <x:c r="L75" s="75" t="str">
        <x:f>IF($C75="","",SUMIFS('Master_Rules'!$H$4:$H$200,'Master_Rules'!$D$4:$D$200,C75))</x:f>
      </x:c>
      <x:c r="M75" s="75" t="str">
        <x:f>IF($C75="","",IF(K75=0,J75,MAX(K75,CEILING(J75,L75))))</x:f>
      </x:c>
      <x:c r="N75" s="75" t="str">
        <x:f>IF($C75="","",SUMIFS('Input_OL'!$G$4:$G$200,'Input_OL'!$C$4:$C$200,C75,'Input_OL'!$F$4:$F$200,B75))</x:f>
      </x:c>
      <x:c r="O75" s="75" t="str">
        <x:f>IF($C75="","",SUMIFS('Input_OL'!$G$4:$G$200,'Input_OL'!$C$4:$C$200,C75,'Input_OL'!$F$4:$F$200,B75))</x:f>
      </x:c>
      <x:c r="P75" s="75" t="str">
        <x:f>IF($C75="","",IF(N75=0,"확인필요",IF(ABS(M75-N75)/N75&lt;=0.2,"정상","Rule초과")))</x:f>
      </x:c>
      <x:c r="Q75" s="75" t="str">
        <x:f>IF($C75="","",IF(O75=0,"확인필요",IF(ABS(M75-O75)/O75&lt;=0.3,"정상","Rule초과")))</x:f>
      </x:c>
      <x:c r="R75" s="75" t="str">
        <x:f>IF($C75="","",M75)</x:f>
      </x:c>
      <x:c r="S75" s="75" t="str">
        <x:f>IF($C75="","",R75*SUMIFS('Master_Rules'!$J$4:$J$200,'Master_Rules'!$D$4:$D$200,C75))</x:f>
      </x:c>
      <x:c r="T75" s="72" t="str">
        <x:f>IF($C75="","",IF(OR(P75="Rule초과",Q75="Rule초과"),"Flex 확인",IF(R75&gt;J75,"MOQ 조정","정상")))</x:f>
      </x:c>
    </x:row>
    <x:row r="76">
      <x:c r="A76" s="71"/>
      <x:c r="B76" s="71"/>
      <x:c r="C76" s="72"/>
      <x:c r="D76" s="72"/>
      <x:c r="E76" s="72"/>
      <x:c r="F76" s="75" t="str">
        <x:f>IF($C76="","",SUMIFS('Input_OL'!$K$4:$K$200,'Input_OL'!$C$4:$C$200,C76,'Input_OL'!$F$4:$F$200,B76))</x:f>
      </x:c>
      <x:c r="G76" s="75" t="str">
        <x:f>IF($C76="","",SUMIFS('Input_Inventory'!$G$4:$G$200,'Input_Inventory'!$C$4:$C$200,C76))</x:f>
      </x:c>
      <x:c r="H76" s="75" t="str">
        <x:f>IF($C76="","",SUMIFS('Input_Inventory'!$L$4:$L$200,'Input_Inventory'!$C$4:$C$200,C76,'Input_Inventory'!$F$4:$F$200,B76))</x:f>
      </x:c>
      <x:c r="I76" s="75" t="str">
        <x:f>IF($C76="","",G76+H76)</x:f>
      </x:c>
      <x:c r="J76" s="75" t="str">
        <x:f>IF($C76="","",MAX(0,F76-I76))</x:f>
      </x:c>
      <x:c r="K76" s="75" t="str">
        <x:f>IF($C76="","",SUMIFS('Master_Rules'!$G$4:$G$200,'Master_Rules'!$D$4:$D$200,C76))</x:f>
      </x:c>
      <x:c r="L76" s="75" t="str">
        <x:f>IF($C76="","",SUMIFS('Master_Rules'!$H$4:$H$200,'Master_Rules'!$D$4:$D$200,C76))</x:f>
      </x:c>
      <x:c r="M76" s="75" t="str">
        <x:f>IF($C76="","",IF(K76=0,J76,MAX(K76,CEILING(J76,L76))))</x:f>
      </x:c>
      <x:c r="N76" s="75" t="str">
        <x:f>IF($C76="","",SUMIFS('Input_OL'!$G$4:$G$200,'Input_OL'!$C$4:$C$200,C76,'Input_OL'!$F$4:$F$200,B76))</x:f>
      </x:c>
      <x:c r="O76" s="75" t="str">
        <x:f>IF($C76="","",SUMIFS('Input_OL'!$G$4:$G$200,'Input_OL'!$C$4:$C$200,C76,'Input_OL'!$F$4:$F$200,B76))</x:f>
      </x:c>
      <x:c r="P76" s="75" t="str">
        <x:f>IF($C76="","",IF(N76=0,"확인필요",IF(ABS(M76-N76)/N76&lt;=0.2,"정상","Rule초과")))</x:f>
      </x:c>
      <x:c r="Q76" s="75" t="str">
        <x:f>IF($C76="","",IF(O76=0,"확인필요",IF(ABS(M76-O76)/O76&lt;=0.3,"정상","Rule초과")))</x:f>
      </x:c>
      <x:c r="R76" s="75" t="str">
        <x:f>IF($C76="","",M76)</x:f>
      </x:c>
      <x:c r="S76" s="75" t="str">
        <x:f>IF($C76="","",R76*SUMIFS('Master_Rules'!$J$4:$J$200,'Master_Rules'!$D$4:$D$200,C76))</x:f>
      </x:c>
      <x:c r="T76" s="72" t="str">
        <x:f>IF($C76="","",IF(OR(P76="Rule초과",Q76="Rule초과"),"Flex 확인",IF(R76&gt;J76,"MOQ 조정","정상")))</x:f>
      </x:c>
    </x:row>
    <x:row r="77">
      <x:c r="A77" s="71"/>
      <x:c r="B77" s="71"/>
      <x:c r="C77" s="72"/>
      <x:c r="D77" s="72"/>
      <x:c r="E77" s="72"/>
      <x:c r="F77" s="75" t="str">
        <x:f>IF($C77="","",SUMIFS('Input_OL'!$K$4:$K$200,'Input_OL'!$C$4:$C$200,C77,'Input_OL'!$F$4:$F$200,B77))</x:f>
      </x:c>
      <x:c r="G77" s="75" t="str">
        <x:f>IF($C77="","",SUMIFS('Input_Inventory'!$G$4:$G$200,'Input_Inventory'!$C$4:$C$200,C77))</x:f>
      </x:c>
      <x:c r="H77" s="75" t="str">
        <x:f>IF($C77="","",SUMIFS('Input_Inventory'!$L$4:$L$200,'Input_Inventory'!$C$4:$C$200,C77,'Input_Inventory'!$F$4:$F$200,B77))</x:f>
      </x:c>
      <x:c r="I77" s="75" t="str">
        <x:f>IF($C77="","",G77+H77)</x:f>
      </x:c>
      <x:c r="J77" s="75" t="str">
        <x:f>IF($C77="","",MAX(0,F77-I77))</x:f>
      </x:c>
      <x:c r="K77" s="75" t="str">
        <x:f>IF($C77="","",SUMIFS('Master_Rules'!$G$4:$G$200,'Master_Rules'!$D$4:$D$200,C77))</x:f>
      </x:c>
      <x:c r="L77" s="75" t="str">
        <x:f>IF($C77="","",SUMIFS('Master_Rules'!$H$4:$H$200,'Master_Rules'!$D$4:$D$200,C77))</x:f>
      </x:c>
      <x:c r="M77" s="75" t="str">
        <x:f>IF($C77="","",IF(K77=0,J77,MAX(K77,CEILING(J77,L77))))</x:f>
      </x:c>
      <x:c r="N77" s="75" t="str">
        <x:f>IF($C77="","",SUMIFS('Input_OL'!$G$4:$G$200,'Input_OL'!$C$4:$C$200,C77,'Input_OL'!$F$4:$F$200,B77))</x:f>
      </x:c>
      <x:c r="O77" s="75" t="str">
        <x:f>IF($C77="","",SUMIFS('Input_OL'!$G$4:$G$200,'Input_OL'!$C$4:$C$200,C77,'Input_OL'!$F$4:$F$200,B77))</x:f>
      </x:c>
      <x:c r="P77" s="75" t="str">
        <x:f>IF($C77="","",IF(N77=0,"확인필요",IF(ABS(M77-N77)/N77&lt;=0.2,"정상","Rule초과")))</x:f>
      </x:c>
      <x:c r="Q77" s="75" t="str">
        <x:f>IF($C77="","",IF(O77=0,"확인필요",IF(ABS(M77-O77)/O77&lt;=0.3,"정상","Rule초과")))</x:f>
      </x:c>
      <x:c r="R77" s="75" t="str">
        <x:f>IF($C77="","",M77)</x:f>
      </x:c>
      <x:c r="S77" s="75" t="str">
        <x:f>IF($C77="","",R77*SUMIFS('Master_Rules'!$J$4:$J$200,'Master_Rules'!$D$4:$D$200,C77))</x:f>
      </x:c>
      <x:c r="T77" s="72" t="str">
        <x:f>IF($C77="","",IF(OR(P77="Rule초과",Q77="Rule초과"),"Flex 확인",IF(R77&gt;J77,"MOQ 조정","정상")))</x:f>
      </x:c>
    </x:row>
    <x:row r="78">
      <x:c r="A78" s="71"/>
      <x:c r="B78" s="71"/>
      <x:c r="C78" s="72"/>
      <x:c r="D78" s="72"/>
      <x:c r="E78" s="72"/>
      <x:c r="F78" s="75" t="str">
        <x:f>IF($C78="","",SUMIFS('Input_OL'!$K$4:$K$200,'Input_OL'!$C$4:$C$200,C78,'Input_OL'!$F$4:$F$200,B78))</x:f>
      </x:c>
      <x:c r="G78" s="75" t="str">
        <x:f>IF($C78="","",SUMIFS('Input_Inventory'!$G$4:$G$200,'Input_Inventory'!$C$4:$C$200,C78))</x:f>
      </x:c>
      <x:c r="H78" s="75" t="str">
        <x:f>IF($C78="","",SUMIFS('Input_Inventory'!$L$4:$L$200,'Input_Inventory'!$C$4:$C$200,C78,'Input_Inventory'!$F$4:$F$200,B78))</x:f>
      </x:c>
      <x:c r="I78" s="75" t="str">
        <x:f>IF($C78="","",G78+H78)</x:f>
      </x:c>
      <x:c r="J78" s="75" t="str">
        <x:f>IF($C78="","",MAX(0,F78-I78))</x:f>
      </x:c>
      <x:c r="K78" s="75" t="str">
        <x:f>IF($C78="","",SUMIFS('Master_Rules'!$G$4:$G$200,'Master_Rules'!$D$4:$D$200,C78))</x:f>
      </x:c>
      <x:c r="L78" s="75" t="str">
        <x:f>IF($C78="","",SUMIFS('Master_Rules'!$H$4:$H$200,'Master_Rules'!$D$4:$D$200,C78))</x:f>
      </x:c>
      <x:c r="M78" s="75" t="str">
        <x:f>IF($C78="","",IF(K78=0,J78,MAX(K78,CEILING(J78,L78))))</x:f>
      </x:c>
      <x:c r="N78" s="75" t="str">
        <x:f>IF($C78="","",SUMIFS('Input_OL'!$G$4:$G$200,'Input_OL'!$C$4:$C$200,C78,'Input_OL'!$F$4:$F$200,B78))</x:f>
      </x:c>
      <x:c r="O78" s="75" t="str">
        <x:f>IF($C78="","",SUMIFS('Input_OL'!$G$4:$G$200,'Input_OL'!$C$4:$C$200,C78,'Input_OL'!$F$4:$F$200,B78))</x:f>
      </x:c>
      <x:c r="P78" s="75" t="str">
        <x:f>IF($C78="","",IF(N78=0,"확인필요",IF(ABS(M78-N78)/N78&lt;=0.2,"정상","Rule초과")))</x:f>
      </x:c>
      <x:c r="Q78" s="75" t="str">
        <x:f>IF($C78="","",IF(O78=0,"확인필요",IF(ABS(M78-O78)/O78&lt;=0.3,"정상","Rule초과")))</x:f>
      </x:c>
      <x:c r="R78" s="75" t="str">
        <x:f>IF($C78="","",M78)</x:f>
      </x:c>
      <x:c r="S78" s="75" t="str">
        <x:f>IF($C78="","",R78*SUMIFS('Master_Rules'!$J$4:$J$200,'Master_Rules'!$D$4:$D$200,C78))</x:f>
      </x:c>
      <x:c r="T78" s="72" t="str">
        <x:f>IF($C78="","",IF(OR(P78="Rule초과",Q78="Rule초과"),"Flex 확인",IF(R78&gt;J78,"MOQ 조정","정상")))</x:f>
      </x:c>
    </x:row>
    <x:row r="79">
      <x:c r="A79" s="71"/>
      <x:c r="B79" s="71"/>
      <x:c r="C79" s="72"/>
      <x:c r="D79" s="72"/>
      <x:c r="E79" s="72"/>
      <x:c r="F79" s="75" t="str">
        <x:f>IF($C79="","",SUMIFS('Input_OL'!$K$4:$K$200,'Input_OL'!$C$4:$C$200,C79,'Input_OL'!$F$4:$F$200,B79))</x:f>
      </x:c>
      <x:c r="G79" s="75" t="str">
        <x:f>IF($C79="","",SUMIFS('Input_Inventory'!$G$4:$G$200,'Input_Inventory'!$C$4:$C$200,C79))</x:f>
      </x:c>
      <x:c r="H79" s="75" t="str">
        <x:f>IF($C79="","",SUMIFS('Input_Inventory'!$L$4:$L$200,'Input_Inventory'!$C$4:$C$200,C79,'Input_Inventory'!$F$4:$F$200,B79))</x:f>
      </x:c>
      <x:c r="I79" s="75" t="str">
        <x:f>IF($C79="","",G79+H79)</x:f>
      </x:c>
      <x:c r="J79" s="75" t="str">
        <x:f>IF($C79="","",MAX(0,F79-I79))</x:f>
      </x:c>
      <x:c r="K79" s="75" t="str">
        <x:f>IF($C79="","",SUMIFS('Master_Rules'!$G$4:$G$200,'Master_Rules'!$D$4:$D$200,C79))</x:f>
      </x:c>
      <x:c r="L79" s="75" t="str">
        <x:f>IF($C79="","",SUMIFS('Master_Rules'!$H$4:$H$200,'Master_Rules'!$D$4:$D$200,C79))</x:f>
      </x:c>
      <x:c r="M79" s="75" t="str">
        <x:f>IF($C79="","",IF(K79=0,J79,MAX(K79,CEILING(J79,L79))))</x:f>
      </x:c>
      <x:c r="N79" s="75" t="str">
        <x:f>IF($C79="","",SUMIFS('Input_OL'!$G$4:$G$200,'Input_OL'!$C$4:$C$200,C79,'Input_OL'!$F$4:$F$200,B79))</x:f>
      </x:c>
      <x:c r="O79" s="75" t="str">
        <x:f>IF($C79="","",SUMIFS('Input_OL'!$G$4:$G$200,'Input_OL'!$C$4:$C$200,C79,'Input_OL'!$F$4:$F$200,B79))</x:f>
      </x:c>
      <x:c r="P79" s="75" t="str">
        <x:f>IF($C79="","",IF(N79=0,"확인필요",IF(ABS(M79-N79)/N79&lt;=0.2,"정상","Rule초과")))</x:f>
      </x:c>
      <x:c r="Q79" s="75" t="str">
        <x:f>IF($C79="","",IF(O79=0,"확인필요",IF(ABS(M79-O79)/O79&lt;=0.3,"정상","Rule초과")))</x:f>
      </x:c>
      <x:c r="R79" s="75" t="str">
        <x:f>IF($C79="","",M79)</x:f>
      </x:c>
      <x:c r="S79" s="75" t="str">
        <x:f>IF($C79="","",R79*SUMIFS('Master_Rules'!$J$4:$J$200,'Master_Rules'!$D$4:$D$200,C79))</x:f>
      </x:c>
      <x:c r="T79" s="72" t="str">
        <x:f>IF($C79="","",IF(OR(P79="Rule초과",Q79="Rule초과"),"Flex 확인",IF(R79&gt;J79,"MOQ 조정","정상")))</x:f>
      </x:c>
    </x:row>
    <x:row r="80">
      <x:c r="A80" s="71"/>
      <x:c r="B80" s="71"/>
      <x:c r="C80" s="72"/>
      <x:c r="D80" s="72"/>
      <x:c r="E80" s="72"/>
      <x:c r="F80" s="75" t="str">
        <x:f>IF($C80="","",SUMIFS('Input_OL'!$K$4:$K$200,'Input_OL'!$C$4:$C$200,C80,'Input_OL'!$F$4:$F$200,B80))</x:f>
      </x:c>
      <x:c r="G80" s="75" t="str">
        <x:f>IF($C80="","",SUMIFS('Input_Inventory'!$G$4:$G$200,'Input_Inventory'!$C$4:$C$200,C80))</x:f>
      </x:c>
      <x:c r="H80" s="75" t="str">
        <x:f>IF($C80="","",SUMIFS('Input_Inventory'!$L$4:$L$200,'Input_Inventory'!$C$4:$C$200,C80,'Input_Inventory'!$F$4:$F$200,B80))</x:f>
      </x:c>
      <x:c r="I80" s="75" t="str">
        <x:f>IF($C80="","",G80+H80)</x:f>
      </x:c>
      <x:c r="J80" s="75" t="str">
        <x:f>IF($C80="","",MAX(0,F80-I80))</x:f>
      </x:c>
      <x:c r="K80" s="75" t="str">
        <x:f>IF($C80="","",SUMIFS('Master_Rules'!$G$4:$G$200,'Master_Rules'!$D$4:$D$200,C80))</x:f>
      </x:c>
      <x:c r="L80" s="75" t="str">
        <x:f>IF($C80="","",SUMIFS('Master_Rules'!$H$4:$H$200,'Master_Rules'!$D$4:$D$200,C80))</x:f>
      </x:c>
      <x:c r="M80" s="75" t="str">
        <x:f>IF($C80="","",IF(K80=0,J80,MAX(K80,CEILING(J80,L80))))</x:f>
      </x:c>
      <x:c r="N80" s="75" t="str">
        <x:f>IF($C80="","",SUMIFS('Input_OL'!$G$4:$G$200,'Input_OL'!$C$4:$C$200,C80,'Input_OL'!$F$4:$F$200,B80))</x:f>
      </x:c>
      <x:c r="O80" s="75" t="str">
        <x:f>IF($C80="","",SUMIFS('Input_OL'!$G$4:$G$200,'Input_OL'!$C$4:$C$200,C80,'Input_OL'!$F$4:$F$200,B80))</x:f>
      </x:c>
      <x:c r="P80" s="75" t="str">
        <x:f>IF($C80="","",IF(N80=0,"확인필요",IF(ABS(M80-N80)/N80&lt;=0.2,"정상","Rule초과")))</x:f>
      </x:c>
      <x:c r="Q80" s="75" t="str">
        <x:f>IF($C80="","",IF(O80=0,"확인필요",IF(ABS(M80-O80)/O80&lt;=0.3,"정상","Rule초과")))</x:f>
      </x:c>
      <x:c r="R80" s="75" t="str">
        <x:f>IF($C80="","",M80)</x:f>
      </x:c>
      <x:c r="S80" s="75" t="str">
        <x:f>IF($C80="","",R80*SUMIFS('Master_Rules'!$J$4:$J$200,'Master_Rules'!$D$4:$D$200,C80))</x:f>
      </x:c>
      <x:c r="T80" s="72" t="str">
        <x:f>IF($C80="","",IF(OR(P80="Rule초과",Q80="Rule초과"),"Flex 확인",IF(R80&gt;J80,"MOQ 조정","정상")))</x:f>
      </x:c>
    </x:row>
    <x:row r="81">
      <x:c r="A81" s="71"/>
      <x:c r="B81" s="71"/>
      <x:c r="C81" s="72"/>
      <x:c r="D81" s="72"/>
      <x:c r="E81" s="72"/>
      <x:c r="F81" s="75" t="str">
        <x:f>IF($C81="","",SUMIFS('Input_OL'!$K$4:$K$200,'Input_OL'!$C$4:$C$200,C81,'Input_OL'!$F$4:$F$200,B81))</x:f>
      </x:c>
      <x:c r="G81" s="75" t="str">
        <x:f>IF($C81="","",SUMIFS('Input_Inventory'!$G$4:$G$200,'Input_Inventory'!$C$4:$C$200,C81))</x:f>
      </x:c>
      <x:c r="H81" s="75" t="str">
        <x:f>IF($C81="","",SUMIFS('Input_Inventory'!$L$4:$L$200,'Input_Inventory'!$C$4:$C$200,C81,'Input_Inventory'!$F$4:$F$200,B81))</x:f>
      </x:c>
      <x:c r="I81" s="75" t="str">
        <x:f>IF($C81="","",G81+H81)</x:f>
      </x:c>
      <x:c r="J81" s="75" t="str">
        <x:f>IF($C81="","",MAX(0,F81-I81))</x:f>
      </x:c>
      <x:c r="K81" s="75" t="str">
        <x:f>IF($C81="","",SUMIFS('Master_Rules'!$G$4:$G$200,'Master_Rules'!$D$4:$D$200,C81))</x:f>
      </x:c>
      <x:c r="L81" s="75" t="str">
        <x:f>IF($C81="","",SUMIFS('Master_Rules'!$H$4:$H$200,'Master_Rules'!$D$4:$D$200,C81))</x:f>
      </x:c>
      <x:c r="M81" s="75" t="str">
        <x:f>IF($C81="","",IF(K81=0,J81,MAX(K81,CEILING(J81,L81))))</x:f>
      </x:c>
      <x:c r="N81" s="75" t="str">
        <x:f>IF($C81="","",SUMIFS('Input_OL'!$G$4:$G$200,'Input_OL'!$C$4:$C$200,C81,'Input_OL'!$F$4:$F$200,B81))</x:f>
      </x:c>
      <x:c r="O81" s="75" t="str">
        <x:f>IF($C81="","",SUMIFS('Input_OL'!$G$4:$G$200,'Input_OL'!$C$4:$C$200,C81,'Input_OL'!$F$4:$F$200,B81))</x:f>
      </x:c>
      <x:c r="P81" s="75" t="str">
        <x:f>IF($C81="","",IF(N81=0,"확인필요",IF(ABS(M81-N81)/N81&lt;=0.2,"정상","Rule초과")))</x:f>
      </x:c>
      <x:c r="Q81" s="75" t="str">
        <x:f>IF($C81="","",IF(O81=0,"확인필요",IF(ABS(M81-O81)/O81&lt;=0.3,"정상","Rule초과")))</x:f>
      </x:c>
      <x:c r="R81" s="75" t="str">
        <x:f>IF($C81="","",M81)</x:f>
      </x:c>
      <x:c r="S81" s="75" t="str">
        <x:f>IF($C81="","",R81*SUMIFS('Master_Rules'!$J$4:$J$200,'Master_Rules'!$D$4:$D$200,C81))</x:f>
      </x:c>
      <x:c r="T81" s="72" t="str">
        <x:f>IF($C81="","",IF(OR(P81="Rule초과",Q81="Rule초과"),"Flex 확인",IF(R81&gt;J81,"MOQ 조정","정상")))</x:f>
      </x:c>
    </x:row>
    <x:row r="82">
      <x:c r="A82" s="71"/>
      <x:c r="B82" s="71"/>
      <x:c r="C82" s="72"/>
      <x:c r="D82" s="72"/>
      <x:c r="E82" s="72"/>
      <x:c r="F82" s="75" t="str">
        <x:f>IF($C82="","",SUMIFS('Input_OL'!$K$4:$K$200,'Input_OL'!$C$4:$C$200,C82,'Input_OL'!$F$4:$F$200,B82))</x:f>
      </x:c>
      <x:c r="G82" s="75" t="str">
        <x:f>IF($C82="","",SUMIFS('Input_Inventory'!$G$4:$G$200,'Input_Inventory'!$C$4:$C$200,C82))</x:f>
      </x:c>
      <x:c r="H82" s="75" t="str">
        <x:f>IF($C82="","",SUMIFS('Input_Inventory'!$L$4:$L$200,'Input_Inventory'!$C$4:$C$200,C82,'Input_Inventory'!$F$4:$F$200,B82))</x:f>
      </x:c>
      <x:c r="I82" s="75" t="str">
        <x:f>IF($C82="","",G82+H82)</x:f>
      </x:c>
      <x:c r="J82" s="75" t="str">
        <x:f>IF($C82="","",MAX(0,F82-I82))</x:f>
      </x:c>
      <x:c r="K82" s="75" t="str">
        <x:f>IF($C82="","",SUMIFS('Master_Rules'!$G$4:$G$200,'Master_Rules'!$D$4:$D$200,C82))</x:f>
      </x:c>
      <x:c r="L82" s="75" t="str">
        <x:f>IF($C82="","",SUMIFS('Master_Rules'!$H$4:$H$200,'Master_Rules'!$D$4:$D$200,C82))</x:f>
      </x:c>
      <x:c r="M82" s="75" t="str">
        <x:f>IF($C82="","",IF(K82=0,J82,MAX(K82,CEILING(J82,L82))))</x:f>
      </x:c>
      <x:c r="N82" s="75" t="str">
        <x:f>IF($C82="","",SUMIFS('Input_OL'!$G$4:$G$200,'Input_OL'!$C$4:$C$200,C82,'Input_OL'!$F$4:$F$200,B82))</x:f>
      </x:c>
      <x:c r="O82" s="75" t="str">
        <x:f>IF($C82="","",SUMIFS('Input_OL'!$G$4:$G$200,'Input_OL'!$C$4:$C$200,C82,'Input_OL'!$F$4:$F$200,B82))</x:f>
      </x:c>
      <x:c r="P82" s="75" t="str">
        <x:f>IF($C82="","",IF(N82=0,"확인필요",IF(ABS(M82-N82)/N82&lt;=0.2,"정상","Rule초과")))</x:f>
      </x:c>
      <x:c r="Q82" s="75" t="str">
        <x:f>IF($C82="","",IF(O82=0,"확인필요",IF(ABS(M82-O82)/O82&lt;=0.3,"정상","Rule초과")))</x:f>
      </x:c>
      <x:c r="R82" s="75" t="str">
        <x:f>IF($C82="","",M82)</x:f>
      </x:c>
      <x:c r="S82" s="75" t="str">
        <x:f>IF($C82="","",R82*SUMIFS('Master_Rules'!$J$4:$J$200,'Master_Rules'!$D$4:$D$200,C82))</x:f>
      </x:c>
      <x:c r="T82" s="72" t="str">
        <x:f>IF($C82="","",IF(OR(P82="Rule초과",Q82="Rule초과"),"Flex 확인",IF(R82&gt;J82,"MOQ 조정","정상")))</x:f>
      </x:c>
    </x:row>
    <x:row r="83">
      <x:c r="A83" s="71"/>
      <x:c r="B83" s="71"/>
      <x:c r="C83" s="72"/>
      <x:c r="D83" s="72"/>
      <x:c r="E83" s="72"/>
      <x:c r="F83" s="75" t="str">
        <x:f>IF($C83="","",SUMIFS('Input_OL'!$K$4:$K$200,'Input_OL'!$C$4:$C$200,C83,'Input_OL'!$F$4:$F$200,B83))</x:f>
      </x:c>
      <x:c r="G83" s="75" t="str">
        <x:f>IF($C83="","",SUMIFS('Input_Inventory'!$G$4:$G$200,'Input_Inventory'!$C$4:$C$200,C83))</x:f>
      </x:c>
      <x:c r="H83" s="75" t="str">
        <x:f>IF($C83="","",SUMIFS('Input_Inventory'!$L$4:$L$200,'Input_Inventory'!$C$4:$C$200,C83,'Input_Inventory'!$F$4:$F$200,B83))</x:f>
      </x:c>
      <x:c r="I83" s="75" t="str">
        <x:f>IF($C83="","",G83+H83)</x:f>
      </x:c>
      <x:c r="J83" s="75" t="str">
        <x:f>IF($C83="","",MAX(0,F83-I83))</x:f>
      </x:c>
      <x:c r="K83" s="75" t="str">
        <x:f>IF($C83="","",SUMIFS('Master_Rules'!$G$4:$G$200,'Master_Rules'!$D$4:$D$200,C83))</x:f>
      </x:c>
      <x:c r="L83" s="75" t="str">
        <x:f>IF($C83="","",SUMIFS('Master_Rules'!$H$4:$H$200,'Master_Rules'!$D$4:$D$200,C83))</x:f>
      </x:c>
      <x:c r="M83" s="75" t="str">
        <x:f>IF($C83="","",IF(K83=0,J83,MAX(K83,CEILING(J83,L83))))</x:f>
      </x:c>
      <x:c r="N83" s="75" t="str">
        <x:f>IF($C83="","",SUMIFS('Input_OL'!$G$4:$G$200,'Input_OL'!$C$4:$C$200,C83,'Input_OL'!$F$4:$F$200,B83))</x:f>
      </x:c>
      <x:c r="O83" s="75" t="str">
        <x:f>IF($C83="","",SUMIFS('Input_OL'!$G$4:$G$200,'Input_OL'!$C$4:$C$200,C83,'Input_OL'!$F$4:$F$200,B83))</x:f>
      </x:c>
      <x:c r="P83" s="75" t="str">
        <x:f>IF($C83="","",IF(N83=0,"확인필요",IF(ABS(M83-N83)/N83&lt;=0.2,"정상","Rule초과")))</x:f>
      </x:c>
      <x:c r="Q83" s="75" t="str">
        <x:f>IF($C83="","",IF(O83=0,"확인필요",IF(ABS(M83-O83)/O83&lt;=0.3,"정상","Rule초과")))</x:f>
      </x:c>
      <x:c r="R83" s="75" t="str">
        <x:f>IF($C83="","",M83)</x:f>
      </x:c>
      <x:c r="S83" s="75" t="str">
        <x:f>IF($C83="","",R83*SUMIFS('Master_Rules'!$J$4:$J$200,'Master_Rules'!$D$4:$D$200,C83))</x:f>
      </x:c>
      <x:c r="T83" s="72" t="str">
        <x:f>IF($C83="","",IF(OR(P83="Rule초과",Q83="Rule초과"),"Flex 확인",IF(R83&gt;J83,"MOQ 조정","정상")))</x:f>
      </x:c>
    </x:row>
    <x:row r="84">
      <x:c r="A84" s="71"/>
      <x:c r="B84" s="71"/>
      <x:c r="C84" s="72"/>
      <x:c r="D84" s="72"/>
      <x:c r="E84" s="72"/>
      <x:c r="F84" s="75" t="str">
        <x:f>IF($C84="","",SUMIFS('Input_OL'!$K$4:$K$200,'Input_OL'!$C$4:$C$200,C84,'Input_OL'!$F$4:$F$200,B84))</x:f>
      </x:c>
      <x:c r="G84" s="75" t="str">
        <x:f>IF($C84="","",SUMIFS('Input_Inventory'!$G$4:$G$200,'Input_Inventory'!$C$4:$C$200,C84))</x:f>
      </x:c>
      <x:c r="H84" s="75" t="str">
        <x:f>IF($C84="","",SUMIFS('Input_Inventory'!$L$4:$L$200,'Input_Inventory'!$C$4:$C$200,C84,'Input_Inventory'!$F$4:$F$200,B84))</x:f>
      </x:c>
      <x:c r="I84" s="75" t="str">
        <x:f>IF($C84="","",G84+H84)</x:f>
      </x:c>
      <x:c r="J84" s="75" t="str">
        <x:f>IF($C84="","",MAX(0,F84-I84))</x:f>
      </x:c>
      <x:c r="K84" s="75" t="str">
        <x:f>IF($C84="","",SUMIFS('Master_Rules'!$G$4:$G$200,'Master_Rules'!$D$4:$D$200,C84))</x:f>
      </x:c>
      <x:c r="L84" s="75" t="str">
        <x:f>IF($C84="","",SUMIFS('Master_Rules'!$H$4:$H$200,'Master_Rules'!$D$4:$D$200,C84))</x:f>
      </x:c>
      <x:c r="M84" s="75" t="str">
        <x:f>IF($C84="","",IF(K84=0,J84,MAX(K84,CEILING(J84,L84))))</x:f>
      </x:c>
      <x:c r="N84" s="75" t="str">
        <x:f>IF($C84="","",SUMIFS('Input_OL'!$G$4:$G$200,'Input_OL'!$C$4:$C$200,C84,'Input_OL'!$F$4:$F$200,B84))</x:f>
      </x:c>
      <x:c r="O84" s="75" t="str">
        <x:f>IF($C84="","",SUMIFS('Input_OL'!$G$4:$G$200,'Input_OL'!$C$4:$C$200,C84,'Input_OL'!$F$4:$F$200,B84))</x:f>
      </x:c>
      <x:c r="P84" s="75" t="str">
        <x:f>IF($C84="","",IF(N84=0,"확인필요",IF(ABS(M84-N84)/N84&lt;=0.2,"정상","Rule초과")))</x:f>
      </x:c>
      <x:c r="Q84" s="75" t="str">
        <x:f>IF($C84="","",IF(O84=0,"확인필요",IF(ABS(M84-O84)/O84&lt;=0.3,"정상","Rule초과")))</x:f>
      </x:c>
      <x:c r="R84" s="75" t="str">
        <x:f>IF($C84="","",M84)</x:f>
      </x:c>
      <x:c r="S84" s="75" t="str">
        <x:f>IF($C84="","",R84*SUMIFS('Master_Rules'!$J$4:$J$200,'Master_Rules'!$D$4:$D$200,C84))</x:f>
      </x:c>
      <x:c r="T84" s="72" t="str">
        <x:f>IF($C84="","",IF(OR(P84="Rule초과",Q84="Rule초과"),"Flex 확인",IF(R84&gt;J84,"MOQ 조정","정상")))</x:f>
      </x:c>
    </x:row>
    <x:row r="85">
      <x:c r="A85" s="71"/>
      <x:c r="B85" s="71"/>
      <x:c r="C85" s="72"/>
      <x:c r="D85" s="72"/>
      <x:c r="E85" s="72"/>
      <x:c r="F85" s="75" t="str">
        <x:f>IF($C85="","",SUMIFS('Input_OL'!$K$4:$K$200,'Input_OL'!$C$4:$C$200,C85,'Input_OL'!$F$4:$F$200,B85))</x:f>
      </x:c>
      <x:c r="G85" s="75" t="str">
        <x:f>IF($C85="","",SUMIFS('Input_Inventory'!$G$4:$G$200,'Input_Inventory'!$C$4:$C$200,C85))</x:f>
      </x:c>
      <x:c r="H85" s="75" t="str">
        <x:f>IF($C85="","",SUMIFS('Input_Inventory'!$L$4:$L$200,'Input_Inventory'!$C$4:$C$200,C85,'Input_Inventory'!$F$4:$F$200,B85))</x:f>
      </x:c>
      <x:c r="I85" s="75" t="str">
        <x:f>IF($C85="","",G85+H85)</x:f>
      </x:c>
      <x:c r="J85" s="75" t="str">
        <x:f>IF($C85="","",MAX(0,F85-I85))</x:f>
      </x:c>
      <x:c r="K85" s="75" t="str">
        <x:f>IF($C85="","",SUMIFS('Master_Rules'!$G$4:$G$200,'Master_Rules'!$D$4:$D$200,C85))</x:f>
      </x:c>
      <x:c r="L85" s="75" t="str">
        <x:f>IF($C85="","",SUMIFS('Master_Rules'!$H$4:$H$200,'Master_Rules'!$D$4:$D$200,C85))</x:f>
      </x:c>
      <x:c r="M85" s="75" t="str">
        <x:f>IF($C85="","",IF(K85=0,J85,MAX(K85,CEILING(J85,L85))))</x:f>
      </x:c>
      <x:c r="N85" s="75" t="str">
        <x:f>IF($C85="","",SUMIFS('Input_OL'!$G$4:$G$200,'Input_OL'!$C$4:$C$200,C85,'Input_OL'!$F$4:$F$200,B85))</x:f>
      </x:c>
      <x:c r="O85" s="75" t="str">
        <x:f>IF($C85="","",SUMIFS('Input_OL'!$G$4:$G$200,'Input_OL'!$C$4:$C$200,C85,'Input_OL'!$F$4:$F$200,B85))</x:f>
      </x:c>
      <x:c r="P85" s="75" t="str">
        <x:f>IF($C85="","",IF(N85=0,"확인필요",IF(ABS(M85-N85)/N85&lt;=0.2,"정상","Rule초과")))</x:f>
      </x:c>
      <x:c r="Q85" s="75" t="str">
        <x:f>IF($C85="","",IF(O85=0,"확인필요",IF(ABS(M85-O85)/O85&lt;=0.3,"정상","Rule초과")))</x:f>
      </x:c>
      <x:c r="R85" s="75" t="str">
        <x:f>IF($C85="","",M85)</x:f>
      </x:c>
      <x:c r="S85" s="75" t="str">
        <x:f>IF($C85="","",R85*SUMIFS('Master_Rules'!$J$4:$J$200,'Master_Rules'!$D$4:$D$200,C85))</x:f>
      </x:c>
      <x:c r="T85" s="72" t="str">
        <x:f>IF($C85="","",IF(OR(P85="Rule초과",Q85="Rule초과"),"Flex 확인",IF(R85&gt;J85,"MOQ 조정","정상")))</x:f>
      </x:c>
    </x:row>
    <x:row r="86">
      <x:c r="A86" s="71"/>
      <x:c r="B86" s="71"/>
      <x:c r="C86" s="72"/>
      <x:c r="D86" s="72"/>
      <x:c r="E86" s="72"/>
      <x:c r="F86" s="75" t="str">
        <x:f>IF($C86="","",SUMIFS('Input_OL'!$K$4:$K$200,'Input_OL'!$C$4:$C$200,C86,'Input_OL'!$F$4:$F$200,B86))</x:f>
      </x:c>
      <x:c r="G86" s="75" t="str">
        <x:f>IF($C86="","",SUMIFS('Input_Inventory'!$G$4:$G$200,'Input_Inventory'!$C$4:$C$200,C86))</x:f>
      </x:c>
      <x:c r="H86" s="75" t="str">
        <x:f>IF($C86="","",SUMIFS('Input_Inventory'!$L$4:$L$200,'Input_Inventory'!$C$4:$C$200,C86,'Input_Inventory'!$F$4:$F$200,B86))</x:f>
      </x:c>
      <x:c r="I86" s="75" t="str">
        <x:f>IF($C86="","",G86+H86)</x:f>
      </x:c>
      <x:c r="J86" s="75" t="str">
        <x:f>IF($C86="","",MAX(0,F86-I86))</x:f>
      </x:c>
      <x:c r="K86" s="75" t="str">
        <x:f>IF($C86="","",SUMIFS('Master_Rules'!$G$4:$G$200,'Master_Rules'!$D$4:$D$200,C86))</x:f>
      </x:c>
      <x:c r="L86" s="75" t="str">
        <x:f>IF($C86="","",SUMIFS('Master_Rules'!$H$4:$H$200,'Master_Rules'!$D$4:$D$200,C86))</x:f>
      </x:c>
      <x:c r="M86" s="75" t="str">
        <x:f>IF($C86="","",IF(K86=0,J86,MAX(K86,CEILING(J86,L86))))</x:f>
      </x:c>
      <x:c r="N86" s="75" t="str">
        <x:f>IF($C86="","",SUMIFS('Input_OL'!$G$4:$G$200,'Input_OL'!$C$4:$C$200,C86,'Input_OL'!$F$4:$F$200,B86))</x:f>
      </x:c>
      <x:c r="O86" s="75" t="str">
        <x:f>IF($C86="","",SUMIFS('Input_OL'!$G$4:$G$200,'Input_OL'!$C$4:$C$200,C86,'Input_OL'!$F$4:$F$200,B86))</x:f>
      </x:c>
      <x:c r="P86" s="75" t="str">
        <x:f>IF($C86="","",IF(N86=0,"확인필요",IF(ABS(M86-N86)/N86&lt;=0.2,"정상","Rule초과")))</x:f>
      </x:c>
      <x:c r="Q86" s="75" t="str">
        <x:f>IF($C86="","",IF(O86=0,"확인필요",IF(ABS(M86-O86)/O86&lt;=0.3,"정상","Rule초과")))</x:f>
      </x:c>
      <x:c r="R86" s="75" t="str">
        <x:f>IF($C86="","",M86)</x:f>
      </x:c>
      <x:c r="S86" s="75" t="str">
        <x:f>IF($C86="","",R86*SUMIFS('Master_Rules'!$J$4:$J$200,'Master_Rules'!$D$4:$D$200,C86))</x:f>
      </x:c>
      <x:c r="T86" s="72" t="str">
        <x:f>IF($C86="","",IF(OR(P86="Rule초과",Q86="Rule초과"),"Flex 확인",IF(R86&gt;J86,"MOQ 조정","정상")))</x:f>
      </x:c>
    </x:row>
    <x:row r="87">
      <x:c r="A87" s="71"/>
      <x:c r="B87" s="71"/>
      <x:c r="C87" s="72"/>
      <x:c r="D87" s="72"/>
      <x:c r="E87" s="72"/>
      <x:c r="F87" s="75" t="str">
        <x:f>IF($C87="","",SUMIFS('Input_OL'!$K$4:$K$200,'Input_OL'!$C$4:$C$200,C87,'Input_OL'!$F$4:$F$200,B87))</x:f>
      </x:c>
      <x:c r="G87" s="75" t="str">
        <x:f>IF($C87="","",SUMIFS('Input_Inventory'!$G$4:$G$200,'Input_Inventory'!$C$4:$C$200,C87))</x:f>
      </x:c>
      <x:c r="H87" s="75" t="str">
        <x:f>IF($C87="","",SUMIFS('Input_Inventory'!$L$4:$L$200,'Input_Inventory'!$C$4:$C$200,C87,'Input_Inventory'!$F$4:$F$200,B87))</x:f>
      </x:c>
      <x:c r="I87" s="75" t="str">
        <x:f>IF($C87="","",G87+H87)</x:f>
      </x:c>
      <x:c r="J87" s="75" t="str">
        <x:f>IF($C87="","",MAX(0,F87-I87))</x:f>
      </x:c>
      <x:c r="K87" s="75" t="str">
        <x:f>IF($C87="","",SUMIFS('Master_Rules'!$G$4:$G$200,'Master_Rules'!$D$4:$D$200,C87))</x:f>
      </x:c>
      <x:c r="L87" s="75" t="str">
        <x:f>IF($C87="","",SUMIFS('Master_Rules'!$H$4:$H$200,'Master_Rules'!$D$4:$D$200,C87))</x:f>
      </x:c>
      <x:c r="M87" s="75" t="str">
        <x:f>IF($C87="","",IF(K87=0,J87,MAX(K87,CEILING(J87,L87))))</x:f>
      </x:c>
      <x:c r="N87" s="75" t="str">
        <x:f>IF($C87="","",SUMIFS('Input_OL'!$G$4:$G$200,'Input_OL'!$C$4:$C$200,C87,'Input_OL'!$F$4:$F$200,B87))</x:f>
      </x:c>
      <x:c r="O87" s="75" t="str">
        <x:f>IF($C87="","",SUMIFS('Input_OL'!$G$4:$G$200,'Input_OL'!$C$4:$C$200,C87,'Input_OL'!$F$4:$F$200,B87))</x:f>
      </x:c>
      <x:c r="P87" s="75" t="str">
        <x:f>IF($C87="","",IF(N87=0,"확인필요",IF(ABS(M87-N87)/N87&lt;=0.2,"정상","Rule초과")))</x:f>
      </x:c>
      <x:c r="Q87" s="75" t="str">
        <x:f>IF($C87="","",IF(O87=0,"확인필요",IF(ABS(M87-O87)/O87&lt;=0.3,"정상","Rule초과")))</x:f>
      </x:c>
      <x:c r="R87" s="75" t="str">
        <x:f>IF($C87="","",M87)</x:f>
      </x:c>
      <x:c r="S87" s="75" t="str">
        <x:f>IF($C87="","",R87*SUMIFS('Master_Rules'!$J$4:$J$200,'Master_Rules'!$D$4:$D$200,C87))</x:f>
      </x:c>
      <x:c r="T87" s="72" t="str">
        <x:f>IF($C87="","",IF(OR(P87="Rule초과",Q87="Rule초과"),"Flex 확인",IF(R87&gt;J87,"MOQ 조정","정상")))</x:f>
      </x:c>
    </x:row>
    <x:row r="88">
      <x:c r="A88" s="71"/>
      <x:c r="B88" s="71"/>
      <x:c r="C88" s="72"/>
      <x:c r="D88" s="72"/>
      <x:c r="E88" s="72"/>
      <x:c r="F88" s="75" t="str">
        <x:f>IF($C88="","",SUMIFS('Input_OL'!$K$4:$K$200,'Input_OL'!$C$4:$C$200,C88,'Input_OL'!$F$4:$F$200,B88))</x:f>
      </x:c>
      <x:c r="G88" s="75" t="str">
        <x:f>IF($C88="","",SUMIFS('Input_Inventory'!$G$4:$G$200,'Input_Inventory'!$C$4:$C$200,C88))</x:f>
      </x:c>
      <x:c r="H88" s="75" t="str">
        <x:f>IF($C88="","",SUMIFS('Input_Inventory'!$L$4:$L$200,'Input_Inventory'!$C$4:$C$200,C88,'Input_Inventory'!$F$4:$F$200,B88))</x:f>
      </x:c>
      <x:c r="I88" s="75" t="str">
        <x:f>IF($C88="","",G88+H88)</x:f>
      </x:c>
      <x:c r="J88" s="75" t="str">
        <x:f>IF($C88="","",MAX(0,F88-I88))</x:f>
      </x:c>
      <x:c r="K88" s="75" t="str">
        <x:f>IF($C88="","",SUMIFS('Master_Rules'!$G$4:$G$200,'Master_Rules'!$D$4:$D$200,C88))</x:f>
      </x:c>
      <x:c r="L88" s="75" t="str">
        <x:f>IF($C88="","",SUMIFS('Master_Rules'!$H$4:$H$200,'Master_Rules'!$D$4:$D$200,C88))</x:f>
      </x:c>
      <x:c r="M88" s="75" t="str">
        <x:f>IF($C88="","",IF(K88=0,J88,MAX(K88,CEILING(J88,L88))))</x:f>
      </x:c>
      <x:c r="N88" s="75" t="str">
        <x:f>IF($C88="","",SUMIFS('Input_OL'!$G$4:$G$200,'Input_OL'!$C$4:$C$200,C88,'Input_OL'!$F$4:$F$200,B88))</x:f>
      </x:c>
      <x:c r="O88" s="75" t="str">
        <x:f>IF($C88="","",SUMIFS('Input_OL'!$G$4:$G$200,'Input_OL'!$C$4:$C$200,C88,'Input_OL'!$F$4:$F$200,B88))</x:f>
      </x:c>
      <x:c r="P88" s="75" t="str">
        <x:f>IF($C88="","",IF(N88=0,"확인필요",IF(ABS(M88-N88)/N88&lt;=0.2,"정상","Rule초과")))</x:f>
      </x:c>
      <x:c r="Q88" s="75" t="str">
        <x:f>IF($C88="","",IF(O88=0,"확인필요",IF(ABS(M88-O88)/O88&lt;=0.3,"정상","Rule초과")))</x:f>
      </x:c>
      <x:c r="R88" s="75" t="str">
        <x:f>IF($C88="","",M88)</x:f>
      </x:c>
      <x:c r="S88" s="75" t="str">
        <x:f>IF($C88="","",R88*SUMIFS('Master_Rules'!$J$4:$J$200,'Master_Rules'!$D$4:$D$200,C88))</x:f>
      </x:c>
      <x:c r="T88" s="72" t="str">
        <x:f>IF($C88="","",IF(OR(P88="Rule초과",Q88="Rule초과"),"Flex 확인",IF(R88&gt;J88,"MOQ 조정","정상")))</x:f>
      </x:c>
    </x:row>
    <x:row r="89">
      <x:c r="A89" s="71"/>
      <x:c r="B89" s="71"/>
      <x:c r="C89" s="72"/>
      <x:c r="D89" s="72"/>
      <x:c r="E89" s="72"/>
      <x:c r="F89" s="75" t="str">
        <x:f>IF($C89="","",SUMIFS('Input_OL'!$K$4:$K$200,'Input_OL'!$C$4:$C$200,C89,'Input_OL'!$F$4:$F$200,B89))</x:f>
      </x:c>
      <x:c r="G89" s="75" t="str">
        <x:f>IF($C89="","",SUMIFS('Input_Inventory'!$G$4:$G$200,'Input_Inventory'!$C$4:$C$200,C89))</x:f>
      </x:c>
      <x:c r="H89" s="75" t="str">
        <x:f>IF($C89="","",SUMIFS('Input_Inventory'!$L$4:$L$200,'Input_Inventory'!$C$4:$C$200,C89,'Input_Inventory'!$F$4:$F$200,B89))</x:f>
      </x:c>
      <x:c r="I89" s="75" t="str">
        <x:f>IF($C89="","",G89+H89)</x:f>
      </x:c>
      <x:c r="J89" s="75" t="str">
        <x:f>IF($C89="","",MAX(0,F89-I89))</x:f>
      </x:c>
      <x:c r="K89" s="75" t="str">
        <x:f>IF($C89="","",SUMIFS('Master_Rules'!$G$4:$G$200,'Master_Rules'!$D$4:$D$200,C89))</x:f>
      </x:c>
      <x:c r="L89" s="75" t="str">
        <x:f>IF($C89="","",SUMIFS('Master_Rules'!$H$4:$H$200,'Master_Rules'!$D$4:$D$200,C89))</x:f>
      </x:c>
      <x:c r="M89" s="75" t="str">
        <x:f>IF($C89="","",IF(K89=0,J89,MAX(K89,CEILING(J89,L89))))</x:f>
      </x:c>
      <x:c r="N89" s="75" t="str">
        <x:f>IF($C89="","",SUMIFS('Input_OL'!$G$4:$G$200,'Input_OL'!$C$4:$C$200,C89,'Input_OL'!$F$4:$F$200,B89))</x:f>
      </x:c>
      <x:c r="O89" s="75" t="str">
        <x:f>IF($C89="","",SUMIFS('Input_OL'!$G$4:$G$200,'Input_OL'!$C$4:$C$200,C89,'Input_OL'!$F$4:$F$200,B89))</x:f>
      </x:c>
      <x:c r="P89" s="75" t="str">
        <x:f>IF($C89="","",IF(N89=0,"확인필요",IF(ABS(M89-N89)/N89&lt;=0.2,"정상","Rule초과")))</x:f>
      </x:c>
      <x:c r="Q89" s="75" t="str">
        <x:f>IF($C89="","",IF(O89=0,"확인필요",IF(ABS(M89-O89)/O89&lt;=0.3,"정상","Rule초과")))</x:f>
      </x:c>
      <x:c r="R89" s="75" t="str">
        <x:f>IF($C89="","",M89)</x:f>
      </x:c>
      <x:c r="S89" s="75" t="str">
        <x:f>IF($C89="","",R89*SUMIFS('Master_Rules'!$J$4:$J$200,'Master_Rules'!$D$4:$D$200,C89))</x:f>
      </x:c>
      <x:c r="T89" s="72" t="str">
        <x:f>IF($C89="","",IF(OR(P89="Rule초과",Q89="Rule초과"),"Flex 확인",IF(R89&gt;J89,"MOQ 조정","정상")))</x:f>
      </x:c>
    </x:row>
    <x:row r="90">
      <x:c r="A90" s="71"/>
      <x:c r="B90" s="71"/>
      <x:c r="C90" s="72"/>
      <x:c r="D90" s="72"/>
      <x:c r="E90" s="72"/>
      <x:c r="F90" s="75" t="str">
        <x:f>IF($C90="","",SUMIFS('Input_OL'!$K$4:$K$200,'Input_OL'!$C$4:$C$200,C90,'Input_OL'!$F$4:$F$200,B90))</x:f>
      </x:c>
      <x:c r="G90" s="75" t="str">
        <x:f>IF($C90="","",SUMIFS('Input_Inventory'!$G$4:$G$200,'Input_Inventory'!$C$4:$C$200,C90))</x:f>
      </x:c>
      <x:c r="H90" s="75" t="str">
        <x:f>IF($C90="","",SUMIFS('Input_Inventory'!$L$4:$L$200,'Input_Inventory'!$C$4:$C$200,C90,'Input_Inventory'!$F$4:$F$200,B90))</x:f>
      </x:c>
      <x:c r="I90" s="75" t="str">
        <x:f>IF($C90="","",G90+H90)</x:f>
      </x:c>
      <x:c r="J90" s="75" t="str">
        <x:f>IF($C90="","",MAX(0,F90-I90))</x:f>
      </x:c>
      <x:c r="K90" s="75" t="str">
        <x:f>IF($C90="","",SUMIFS('Master_Rules'!$G$4:$G$200,'Master_Rules'!$D$4:$D$200,C90))</x:f>
      </x:c>
      <x:c r="L90" s="75" t="str">
        <x:f>IF($C90="","",SUMIFS('Master_Rules'!$H$4:$H$200,'Master_Rules'!$D$4:$D$200,C90))</x:f>
      </x:c>
      <x:c r="M90" s="75" t="str">
        <x:f>IF($C90="","",IF(K90=0,J90,MAX(K90,CEILING(J90,L90))))</x:f>
      </x:c>
      <x:c r="N90" s="75" t="str">
        <x:f>IF($C90="","",SUMIFS('Input_OL'!$G$4:$G$200,'Input_OL'!$C$4:$C$200,C90,'Input_OL'!$F$4:$F$200,B90))</x:f>
      </x:c>
      <x:c r="O90" s="75" t="str">
        <x:f>IF($C90="","",SUMIFS('Input_OL'!$G$4:$G$200,'Input_OL'!$C$4:$C$200,C90,'Input_OL'!$F$4:$F$200,B90))</x:f>
      </x:c>
      <x:c r="P90" s="75" t="str">
        <x:f>IF($C90="","",IF(N90=0,"확인필요",IF(ABS(M90-N90)/N90&lt;=0.2,"정상","Rule초과")))</x:f>
      </x:c>
      <x:c r="Q90" s="75" t="str">
        <x:f>IF($C90="","",IF(O90=0,"확인필요",IF(ABS(M90-O90)/O90&lt;=0.3,"정상","Rule초과")))</x:f>
      </x:c>
      <x:c r="R90" s="75" t="str">
        <x:f>IF($C90="","",M90)</x:f>
      </x:c>
      <x:c r="S90" s="75" t="str">
        <x:f>IF($C90="","",R90*SUMIFS('Master_Rules'!$J$4:$J$200,'Master_Rules'!$D$4:$D$200,C90))</x:f>
      </x:c>
      <x:c r="T90" s="72" t="str">
        <x:f>IF($C90="","",IF(OR(P90="Rule초과",Q90="Rule초과"),"Flex 확인",IF(R90&gt;J90,"MOQ 조정","정상")))</x:f>
      </x:c>
    </x:row>
    <x:row r="91">
      <x:c r="A91" s="71"/>
      <x:c r="B91" s="71"/>
      <x:c r="C91" s="72"/>
      <x:c r="D91" s="72"/>
      <x:c r="E91" s="72"/>
      <x:c r="F91" s="75" t="str">
        <x:f>IF($C91="","",SUMIFS('Input_OL'!$K$4:$K$200,'Input_OL'!$C$4:$C$200,C91,'Input_OL'!$F$4:$F$200,B91))</x:f>
      </x:c>
      <x:c r="G91" s="75" t="str">
        <x:f>IF($C91="","",SUMIFS('Input_Inventory'!$G$4:$G$200,'Input_Inventory'!$C$4:$C$200,C91))</x:f>
      </x:c>
      <x:c r="H91" s="75" t="str">
        <x:f>IF($C91="","",SUMIFS('Input_Inventory'!$L$4:$L$200,'Input_Inventory'!$C$4:$C$200,C91,'Input_Inventory'!$F$4:$F$200,B91))</x:f>
      </x:c>
      <x:c r="I91" s="75" t="str">
        <x:f>IF($C91="","",G91+H91)</x:f>
      </x:c>
      <x:c r="J91" s="75" t="str">
        <x:f>IF($C91="","",MAX(0,F91-I91))</x:f>
      </x:c>
      <x:c r="K91" s="75" t="str">
        <x:f>IF($C91="","",SUMIFS('Master_Rules'!$G$4:$G$200,'Master_Rules'!$D$4:$D$200,C91))</x:f>
      </x:c>
      <x:c r="L91" s="75" t="str">
        <x:f>IF($C91="","",SUMIFS('Master_Rules'!$H$4:$H$200,'Master_Rules'!$D$4:$D$200,C91))</x:f>
      </x:c>
      <x:c r="M91" s="75" t="str">
        <x:f>IF($C91="","",IF(K91=0,J91,MAX(K91,CEILING(J91,L91))))</x:f>
      </x:c>
      <x:c r="N91" s="75" t="str">
        <x:f>IF($C91="","",SUMIFS('Input_OL'!$G$4:$G$200,'Input_OL'!$C$4:$C$200,C91,'Input_OL'!$F$4:$F$200,B91))</x:f>
      </x:c>
      <x:c r="O91" s="75" t="str">
        <x:f>IF($C91="","",SUMIFS('Input_OL'!$G$4:$G$200,'Input_OL'!$C$4:$C$200,C91,'Input_OL'!$F$4:$F$200,B91))</x:f>
      </x:c>
      <x:c r="P91" s="75" t="str">
        <x:f>IF($C91="","",IF(N91=0,"확인필요",IF(ABS(M91-N91)/N91&lt;=0.2,"정상","Rule초과")))</x:f>
      </x:c>
      <x:c r="Q91" s="75" t="str">
        <x:f>IF($C91="","",IF(O91=0,"확인필요",IF(ABS(M91-O91)/O91&lt;=0.3,"정상","Rule초과")))</x:f>
      </x:c>
      <x:c r="R91" s="75" t="str">
        <x:f>IF($C91="","",M91)</x:f>
      </x:c>
      <x:c r="S91" s="75" t="str">
        <x:f>IF($C91="","",R91*SUMIFS('Master_Rules'!$J$4:$J$200,'Master_Rules'!$D$4:$D$200,C91))</x:f>
      </x:c>
      <x:c r="T91" s="72" t="str">
        <x:f>IF($C91="","",IF(OR(P91="Rule초과",Q91="Rule초과"),"Flex 확인",IF(R91&gt;J91,"MOQ 조정","정상")))</x:f>
      </x:c>
    </x:row>
    <x:row r="92">
      <x:c r="A92" s="71"/>
      <x:c r="B92" s="71"/>
      <x:c r="C92" s="72"/>
      <x:c r="D92" s="72"/>
      <x:c r="E92" s="72"/>
      <x:c r="F92" s="75" t="str">
        <x:f>IF($C92="","",SUMIFS('Input_OL'!$K$4:$K$200,'Input_OL'!$C$4:$C$200,C92,'Input_OL'!$F$4:$F$200,B92))</x:f>
      </x:c>
      <x:c r="G92" s="75" t="str">
        <x:f>IF($C92="","",SUMIFS('Input_Inventory'!$G$4:$G$200,'Input_Inventory'!$C$4:$C$200,C92))</x:f>
      </x:c>
      <x:c r="H92" s="75" t="str">
        <x:f>IF($C92="","",SUMIFS('Input_Inventory'!$L$4:$L$200,'Input_Inventory'!$C$4:$C$200,C92,'Input_Inventory'!$F$4:$F$200,B92))</x:f>
      </x:c>
      <x:c r="I92" s="75" t="str">
        <x:f>IF($C92="","",G92+H92)</x:f>
      </x:c>
      <x:c r="J92" s="75" t="str">
        <x:f>IF($C92="","",MAX(0,F92-I92))</x:f>
      </x:c>
      <x:c r="K92" s="75" t="str">
        <x:f>IF($C92="","",SUMIFS('Master_Rules'!$G$4:$G$200,'Master_Rules'!$D$4:$D$200,C92))</x:f>
      </x:c>
      <x:c r="L92" s="75" t="str">
        <x:f>IF($C92="","",SUMIFS('Master_Rules'!$H$4:$H$200,'Master_Rules'!$D$4:$D$200,C92))</x:f>
      </x:c>
      <x:c r="M92" s="75" t="str">
        <x:f>IF($C92="","",IF(K92=0,J92,MAX(K92,CEILING(J92,L92))))</x:f>
      </x:c>
      <x:c r="N92" s="75" t="str">
        <x:f>IF($C92="","",SUMIFS('Input_OL'!$G$4:$G$200,'Input_OL'!$C$4:$C$200,C92,'Input_OL'!$F$4:$F$200,B92))</x:f>
      </x:c>
      <x:c r="O92" s="75" t="str">
        <x:f>IF($C92="","",SUMIFS('Input_OL'!$G$4:$G$200,'Input_OL'!$C$4:$C$200,C92,'Input_OL'!$F$4:$F$200,B92))</x:f>
      </x:c>
      <x:c r="P92" s="75" t="str">
        <x:f>IF($C92="","",IF(N92=0,"확인필요",IF(ABS(M92-N92)/N92&lt;=0.2,"정상","Rule초과")))</x:f>
      </x:c>
      <x:c r="Q92" s="75" t="str">
        <x:f>IF($C92="","",IF(O92=0,"확인필요",IF(ABS(M92-O92)/O92&lt;=0.3,"정상","Rule초과")))</x:f>
      </x:c>
      <x:c r="R92" s="75" t="str">
        <x:f>IF($C92="","",M92)</x:f>
      </x:c>
      <x:c r="S92" s="75" t="str">
        <x:f>IF($C92="","",R92*SUMIFS('Master_Rules'!$J$4:$J$200,'Master_Rules'!$D$4:$D$200,C92))</x:f>
      </x:c>
      <x:c r="T92" s="72" t="str">
        <x:f>IF($C92="","",IF(OR(P92="Rule초과",Q92="Rule초과"),"Flex 확인",IF(R92&gt;J92,"MOQ 조정","정상")))</x:f>
      </x:c>
    </x:row>
    <x:row r="93">
      <x:c r="A93" s="71"/>
      <x:c r="B93" s="71"/>
      <x:c r="C93" s="72"/>
      <x:c r="D93" s="72"/>
      <x:c r="E93" s="72"/>
      <x:c r="F93" s="75" t="str">
        <x:f>IF($C93="","",SUMIFS('Input_OL'!$K$4:$K$200,'Input_OL'!$C$4:$C$200,C93,'Input_OL'!$F$4:$F$200,B93))</x:f>
      </x:c>
      <x:c r="G93" s="75" t="str">
        <x:f>IF($C93="","",SUMIFS('Input_Inventory'!$G$4:$G$200,'Input_Inventory'!$C$4:$C$200,C93))</x:f>
      </x:c>
      <x:c r="H93" s="75" t="str">
        <x:f>IF($C93="","",SUMIFS('Input_Inventory'!$L$4:$L$200,'Input_Inventory'!$C$4:$C$200,C93,'Input_Inventory'!$F$4:$F$200,B93))</x:f>
      </x:c>
      <x:c r="I93" s="75" t="str">
        <x:f>IF($C93="","",G93+H93)</x:f>
      </x:c>
      <x:c r="J93" s="75" t="str">
        <x:f>IF($C93="","",MAX(0,F93-I93))</x:f>
      </x:c>
      <x:c r="K93" s="75" t="str">
        <x:f>IF($C93="","",SUMIFS('Master_Rules'!$G$4:$G$200,'Master_Rules'!$D$4:$D$200,C93))</x:f>
      </x:c>
      <x:c r="L93" s="75" t="str">
        <x:f>IF($C93="","",SUMIFS('Master_Rules'!$H$4:$H$200,'Master_Rules'!$D$4:$D$200,C93))</x:f>
      </x:c>
      <x:c r="M93" s="75" t="str">
        <x:f>IF($C93="","",IF(K93=0,J93,MAX(K93,CEILING(J93,L93))))</x:f>
      </x:c>
      <x:c r="N93" s="75" t="str">
        <x:f>IF($C93="","",SUMIFS('Input_OL'!$G$4:$G$200,'Input_OL'!$C$4:$C$200,C93,'Input_OL'!$F$4:$F$200,B93))</x:f>
      </x:c>
      <x:c r="O93" s="75" t="str">
        <x:f>IF($C93="","",SUMIFS('Input_OL'!$G$4:$G$200,'Input_OL'!$C$4:$C$200,C93,'Input_OL'!$F$4:$F$200,B93))</x:f>
      </x:c>
      <x:c r="P93" s="75" t="str">
        <x:f>IF($C93="","",IF(N93=0,"확인필요",IF(ABS(M93-N93)/N93&lt;=0.2,"정상","Rule초과")))</x:f>
      </x:c>
      <x:c r="Q93" s="75" t="str">
        <x:f>IF($C93="","",IF(O93=0,"확인필요",IF(ABS(M93-O93)/O93&lt;=0.3,"정상","Rule초과")))</x:f>
      </x:c>
      <x:c r="R93" s="75" t="str">
        <x:f>IF($C93="","",M93)</x:f>
      </x:c>
      <x:c r="S93" s="75" t="str">
        <x:f>IF($C93="","",R93*SUMIFS('Master_Rules'!$J$4:$J$200,'Master_Rules'!$D$4:$D$200,C93))</x:f>
      </x:c>
      <x:c r="T93" s="72" t="str">
        <x:f>IF($C93="","",IF(OR(P93="Rule초과",Q93="Rule초과"),"Flex 확인",IF(R93&gt;J93,"MOQ 조정","정상")))</x:f>
      </x:c>
    </x:row>
    <x:row r="94">
      <x:c r="A94" s="71"/>
      <x:c r="B94" s="71"/>
      <x:c r="C94" s="72"/>
      <x:c r="D94" s="72"/>
      <x:c r="E94" s="72"/>
      <x:c r="F94" s="75" t="str">
        <x:f>IF($C94="","",SUMIFS('Input_OL'!$K$4:$K$200,'Input_OL'!$C$4:$C$200,C94,'Input_OL'!$F$4:$F$200,B94))</x:f>
      </x:c>
      <x:c r="G94" s="75" t="str">
        <x:f>IF($C94="","",SUMIFS('Input_Inventory'!$G$4:$G$200,'Input_Inventory'!$C$4:$C$200,C94))</x:f>
      </x:c>
      <x:c r="H94" s="75" t="str">
        <x:f>IF($C94="","",SUMIFS('Input_Inventory'!$L$4:$L$200,'Input_Inventory'!$C$4:$C$200,C94,'Input_Inventory'!$F$4:$F$200,B94))</x:f>
      </x:c>
      <x:c r="I94" s="75" t="str">
        <x:f>IF($C94="","",G94+H94)</x:f>
      </x:c>
      <x:c r="J94" s="75" t="str">
        <x:f>IF($C94="","",MAX(0,F94-I94))</x:f>
      </x:c>
      <x:c r="K94" s="75" t="str">
        <x:f>IF($C94="","",SUMIFS('Master_Rules'!$G$4:$G$200,'Master_Rules'!$D$4:$D$200,C94))</x:f>
      </x:c>
      <x:c r="L94" s="75" t="str">
        <x:f>IF($C94="","",SUMIFS('Master_Rules'!$H$4:$H$200,'Master_Rules'!$D$4:$D$200,C94))</x:f>
      </x:c>
      <x:c r="M94" s="75" t="str">
        <x:f>IF($C94="","",IF(K94=0,J94,MAX(K94,CEILING(J94,L94))))</x:f>
      </x:c>
      <x:c r="N94" s="75" t="str">
        <x:f>IF($C94="","",SUMIFS('Input_OL'!$G$4:$G$200,'Input_OL'!$C$4:$C$200,C94,'Input_OL'!$F$4:$F$200,B94))</x:f>
      </x:c>
      <x:c r="O94" s="75" t="str">
        <x:f>IF($C94="","",SUMIFS('Input_OL'!$G$4:$G$200,'Input_OL'!$C$4:$C$200,C94,'Input_OL'!$F$4:$F$200,B94))</x:f>
      </x:c>
      <x:c r="P94" s="75" t="str">
        <x:f>IF($C94="","",IF(N94=0,"확인필요",IF(ABS(M94-N94)/N94&lt;=0.2,"정상","Rule초과")))</x:f>
      </x:c>
      <x:c r="Q94" s="75" t="str">
        <x:f>IF($C94="","",IF(O94=0,"확인필요",IF(ABS(M94-O94)/O94&lt;=0.3,"정상","Rule초과")))</x:f>
      </x:c>
      <x:c r="R94" s="75" t="str">
        <x:f>IF($C94="","",M94)</x:f>
      </x:c>
      <x:c r="S94" s="75" t="str">
        <x:f>IF($C94="","",R94*SUMIFS('Master_Rules'!$J$4:$J$200,'Master_Rules'!$D$4:$D$200,C94))</x:f>
      </x:c>
      <x:c r="T94" s="72" t="str">
        <x:f>IF($C94="","",IF(OR(P94="Rule초과",Q94="Rule초과"),"Flex 확인",IF(R94&gt;J94,"MOQ 조정","정상")))</x:f>
      </x:c>
    </x:row>
    <x:row r="95">
      <x:c r="A95" s="71"/>
      <x:c r="B95" s="71"/>
      <x:c r="C95" s="72"/>
      <x:c r="D95" s="72"/>
      <x:c r="E95" s="72"/>
      <x:c r="F95" s="75" t="str">
        <x:f>IF($C95="","",SUMIFS('Input_OL'!$K$4:$K$200,'Input_OL'!$C$4:$C$200,C95,'Input_OL'!$F$4:$F$200,B95))</x:f>
      </x:c>
      <x:c r="G95" s="75" t="str">
        <x:f>IF($C95="","",SUMIFS('Input_Inventory'!$G$4:$G$200,'Input_Inventory'!$C$4:$C$200,C95))</x:f>
      </x:c>
      <x:c r="H95" s="75" t="str">
        <x:f>IF($C95="","",SUMIFS('Input_Inventory'!$L$4:$L$200,'Input_Inventory'!$C$4:$C$200,C95,'Input_Inventory'!$F$4:$F$200,B95))</x:f>
      </x:c>
      <x:c r="I95" s="75" t="str">
        <x:f>IF($C95="","",G95+H95)</x:f>
      </x:c>
      <x:c r="J95" s="75" t="str">
        <x:f>IF($C95="","",MAX(0,F95-I95))</x:f>
      </x:c>
      <x:c r="K95" s="75" t="str">
        <x:f>IF($C95="","",SUMIFS('Master_Rules'!$G$4:$G$200,'Master_Rules'!$D$4:$D$200,C95))</x:f>
      </x:c>
      <x:c r="L95" s="75" t="str">
        <x:f>IF($C95="","",SUMIFS('Master_Rules'!$H$4:$H$200,'Master_Rules'!$D$4:$D$200,C95))</x:f>
      </x:c>
      <x:c r="M95" s="75" t="str">
        <x:f>IF($C95="","",IF(K95=0,J95,MAX(K95,CEILING(J95,L95))))</x:f>
      </x:c>
      <x:c r="N95" s="75" t="str">
        <x:f>IF($C95="","",SUMIFS('Input_OL'!$G$4:$G$200,'Input_OL'!$C$4:$C$200,C95,'Input_OL'!$F$4:$F$200,B95))</x:f>
      </x:c>
      <x:c r="O95" s="75" t="str">
        <x:f>IF($C95="","",SUMIFS('Input_OL'!$G$4:$G$200,'Input_OL'!$C$4:$C$200,C95,'Input_OL'!$F$4:$F$200,B95))</x:f>
      </x:c>
      <x:c r="P95" s="75" t="str">
        <x:f>IF($C95="","",IF(N95=0,"확인필요",IF(ABS(M95-N95)/N95&lt;=0.2,"정상","Rule초과")))</x:f>
      </x:c>
      <x:c r="Q95" s="75" t="str">
        <x:f>IF($C95="","",IF(O95=0,"확인필요",IF(ABS(M95-O95)/O95&lt;=0.3,"정상","Rule초과")))</x:f>
      </x:c>
      <x:c r="R95" s="75" t="str">
        <x:f>IF($C95="","",M95)</x:f>
      </x:c>
      <x:c r="S95" s="75" t="str">
        <x:f>IF($C95="","",R95*SUMIFS('Master_Rules'!$J$4:$J$200,'Master_Rules'!$D$4:$D$200,C95))</x:f>
      </x:c>
      <x:c r="T95" s="72" t="str">
        <x:f>IF($C95="","",IF(OR(P95="Rule초과",Q95="Rule초과"),"Flex 확인",IF(R95&gt;J95,"MOQ 조정","정상")))</x:f>
      </x:c>
    </x:row>
    <x:row r="96">
      <x:c r="A96" s="71"/>
      <x:c r="B96" s="71"/>
      <x:c r="C96" s="72"/>
      <x:c r="D96" s="72"/>
      <x:c r="E96" s="72"/>
      <x:c r="F96" s="75" t="str">
        <x:f>IF($C96="","",SUMIFS('Input_OL'!$K$4:$K$200,'Input_OL'!$C$4:$C$200,C96,'Input_OL'!$F$4:$F$200,B96))</x:f>
      </x:c>
      <x:c r="G96" s="75" t="str">
        <x:f>IF($C96="","",SUMIFS('Input_Inventory'!$G$4:$G$200,'Input_Inventory'!$C$4:$C$200,C96))</x:f>
      </x:c>
      <x:c r="H96" s="75" t="str">
        <x:f>IF($C96="","",SUMIFS('Input_Inventory'!$L$4:$L$200,'Input_Inventory'!$C$4:$C$200,C96,'Input_Inventory'!$F$4:$F$200,B96))</x:f>
      </x:c>
      <x:c r="I96" s="75" t="str">
        <x:f>IF($C96="","",G96+H96)</x:f>
      </x:c>
      <x:c r="J96" s="75" t="str">
        <x:f>IF($C96="","",MAX(0,F96-I96))</x:f>
      </x:c>
      <x:c r="K96" s="75" t="str">
        <x:f>IF($C96="","",SUMIFS('Master_Rules'!$G$4:$G$200,'Master_Rules'!$D$4:$D$200,C96))</x:f>
      </x:c>
      <x:c r="L96" s="75" t="str">
        <x:f>IF($C96="","",SUMIFS('Master_Rules'!$H$4:$H$200,'Master_Rules'!$D$4:$D$200,C96))</x:f>
      </x:c>
      <x:c r="M96" s="75" t="str">
        <x:f>IF($C96="","",IF(K96=0,J96,MAX(K96,CEILING(J96,L96))))</x:f>
      </x:c>
      <x:c r="N96" s="75" t="str">
        <x:f>IF($C96="","",SUMIFS('Input_OL'!$G$4:$G$200,'Input_OL'!$C$4:$C$200,C96,'Input_OL'!$F$4:$F$200,B96))</x:f>
      </x:c>
      <x:c r="O96" s="75" t="str">
        <x:f>IF($C96="","",SUMIFS('Input_OL'!$G$4:$G$200,'Input_OL'!$C$4:$C$200,C96,'Input_OL'!$F$4:$F$200,B96))</x:f>
      </x:c>
      <x:c r="P96" s="75" t="str">
        <x:f>IF($C96="","",IF(N96=0,"확인필요",IF(ABS(M96-N96)/N96&lt;=0.2,"정상","Rule초과")))</x:f>
      </x:c>
      <x:c r="Q96" s="75" t="str">
        <x:f>IF($C96="","",IF(O96=0,"확인필요",IF(ABS(M96-O96)/O96&lt;=0.3,"정상","Rule초과")))</x:f>
      </x:c>
      <x:c r="R96" s="75" t="str">
        <x:f>IF($C96="","",M96)</x:f>
      </x:c>
      <x:c r="S96" s="75" t="str">
        <x:f>IF($C96="","",R96*SUMIFS('Master_Rules'!$J$4:$J$200,'Master_Rules'!$D$4:$D$200,C96))</x:f>
      </x:c>
      <x:c r="T96" s="72" t="str">
        <x:f>IF($C96="","",IF(OR(P96="Rule초과",Q96="Rule초과"),"Flex 확인",IF(R96&gt;J96,"MOQ 조정","정상")))</x:f>
      </x:c>
    </x:row>
    <x:row r="97">
      <x:c r="A97" s="71"/>
      <x:c r="B97" s="71"/>
      <x:c r="C97" s="72"/>
      <x:c r="D97" s="72"/>
      <x:c r="E97" s="72"/>
      <x:c r="F97" s="75" t="str">
        <x:f>IF($C97="","",SUMIFS('Input_OL'!$K$4:$K$200,'Input_OL'!$C$4:$C$200,C97,'Input_OL'!$F$4:$F$200,B97))</x:f>
      </x:c>
      <x:c r="G97" s="75" t="str">
        <x:f>IF($C97="","",SUMIFS('Input_Inventory'!$G$4:$G$200,'Input_Inventory'!$C$4:$C$200,C97))</x:f>
      </x:c>
      <x:c r="H97" s="75" t="str">
        <x:f>IF($C97="","",SUMIFS('Input_Inventory'!$L$4:$L$200,'Input_Inventory'!$C$4:$C$200,C97,'Input_Inventory'!$F$4:$F$200,B97))</x:f>
      </x:c>
      <x:c r="I97" s="75" t="str">
        <x:f>IF($C97="","",G97+H97)</x:f>
      </x:c>
      <x:c r="J97" s="75" t="str">
        <x:f>IF($C97="","",MAX(0,F97-I97))</x:f>
      </x:c>
      <x:c r="K97" s="75" t="str">
        <x:f>IF($C97="","",SUMIFS('Master_Rules'!$G$4:$G$200,'Master_Rules'!$D$4:$D$200,C97))</x:f>
      </x:c>
      <x:c r="L97" s="75" t="str">
        <x:f>IF($C97="","",SUMIFS('Master_Rules'!$H$4:$H$200,'Master_Rules'!$D$4:$D$200,C97))</x:f>
      </x:c>
      <x:c r="M97" s="75" t="str">
        <x:f>IF($C97="","",IF(K97=0,J97,MAX(K97,CEILING(J97,L97))))</x:f>
      </x:c>
      <x:c r="N97" s="75" t="str">
        <x:f>IF($C97="","",SUMIFS('Input_OL'!$G$4:$G$200,'Input_OL'!$C$4:$C$200,C97,'Input_OL'!$F$4:$F$200,B97))</x:f>
      </x:c>
      <x:c r="O97" s="75" t="str">
        <x:f>IF($C97="","",SUMIFS('Input_OL'!$G$4:$G$200,'Input_OL'!$C$4:$C$200,C97,'Input_OL'!$F$4:$F$200,B97))</x:f>
      </x:c>
      <x:c r="P97" s="75" t="str">
        <x:f>IF($C97="","",IF(N97=0,"확인필요",IF(ABS(M97-N97)/N97&lt;=0.2,"정상","Rule초과")))</x:f>
      </x:c>
      <x:c r="Q97" s="75" t="str">
        <x:f>IF($C97="","",IF(O97=0,"확인필요",IF(ABS(M97-O97)/O97&lt;=0.3,"정상","Rule초과")))</x:f>
      </x:c>
      <x:c r="R97" s="75" t="str">
        <x:f>IF($C97="","",M97)</x:f>
      </x:c>
      <x:c r="S97" s="75" t="str">
        <x:f>IF($C97="","",R97*SUMIFS('Master_Rules'!$J$4:$J$200,'Master_Rules'!$D$4:$D$200,C97))</x:f>
      </x:c>
      <x:c r="T97" s="72" t="str">
        <x:f>IF($C97="","",IF(OR(P97="Rule초과",Q97="Rule초과"),"Flex 확인",IF(R97&gt;J97,"MOQ 조정","정상")))</x:f>
      </x:c>
    </x:row>
    <x:row r="98">
      <x:c r="A98" s="71"/>
      <x:c r="B98" s="71"/>
      <x:c r="C98" s="72"/>
      <x:c r="D98" s="72"/>
      <x:c r="E98" s="72"/>
      <x:c r="F98" s="75" t="str">
        <x:f>IF($C98="","",SUMIFS('Input_OL'!$K$4:$K$200,'Input_OL'!$C$4:$C$200,C98,'Input_OL'!$F$4:$F$200,B98))</x:f>
      </x:c>
      <x:c r="G98" s="75" t="str">
        <x:f>IF($C98="","",SUMIFS('Input_Inventory'!$G$4:$G$200,'Input_Inventory'!$C$4:$C$200,C98))</x:f>
      </x:c>
      <x:c r="H98" s="75" t="str">
        <x:f>IF($C98="","",SUMIFS('Input_Inventory'!$L$4:$L$200,'Input_Inventory'!$C$4:$C$200,C98,'Input_Inventory'!$F$4:$F$200,B98))</x:f>
      </x:c>
      <x:c r="I98" s="75" t="str">
        <x:f>IF($C98="","",G98+H98)</x:f>
      </x:c>
      <x:c r="J98" s="75" t="str">
        <x:f>IF($C98="","",MAX(0,F98-I98))</x:f>
      </x:c>
      <x:c r="K98" s="75" t="str">
        <x:f>IF($C98="","",SUMIFS('Master_Rules'!$G$4:$G$200,'Master_Rules'!$D$4:$D$200,C98))</x:f>
      </x:c>
      <x:c r="L98" s="75" t="str">
        <x:f>IF($C98="","",SUMIFS('Master_Rules'!$H$4:$H$200,'Master_Rules'!$D$4:$D$200,C98))</x:f>
      </x:c>
      <x:c r="M98" s="75" t="str">
        <x:f>IF($C98="","",IF(K98=0,J98,MAX(K98,CEILING(J98,L98))))</x:f>
      </x:c>
      <x:c r="N98" s="75" t="str">
        <x:f>IF($C98="","",SUMIFS('Input_OL'!$G$4:$G$200,'Input_OL'!$C$4:$C$200,C98,'Input_OL'!$F$4:$F$200,B98))</x:f>
      </x:c>
      <x:c r="O98" s="75" t="str">
        <x:f>IF($C98="","",SUMIFS('Input_OL'!$G$4:$G$200,'Input_OL'!$C$4:$C$200,C98,'Input_OL'!$F$4:$F$200,B98))</x:f>
      </x:c>
      <x:c r="P98" s="75" t="str">
        <x:f>IF($C98="","",IF(N98=0,"확인필요",IF(ABS(M98-N98)/N98&lt;=0.2,"정상","Rule초과")))</x:f>
      </x:c>
      <x:c r="Q98" s="75" t="str">
        <x:f>IF($C98="","",IF(O98=0,"확인필요",IF(ABS(M98-O98)/O98&lt;=0.3,"정상","Rule초과")))</x:f>
      </x:c>
      <x:c r="R98" s="75" t="str">
        <x:f>IF($C98="","",M98)</x:f>
      </x:c>
      <x:c r="S98" s="75" t="str">
        <x:f>IF($C98="","",R98*SUMIFS('Master_Rules'!$J$4:$J$200,'Master_Rules'!$D$4:$D$200,C98))</x:f>
      </x:c>
      <x:c r="T98" s="72" t="str">
        <x:f>IF($C98="","",IF(OR(P98="Rule초과",Q98="Rule초과"),"Flex 확인",IF(R98&gt;J98,"MOQ 조정","정상")))</x:f>
      </x:c>
    </x:row>
    <x:row r="99">
      <x:c r="A99" s="71"/>
      <x:c r="B99" s="71"/>
      <x:c r="C99" s="72"/>
      <x:c r="D99" s="72"/>
      <x:c r="E99" s="72"/>
      <x:c r="F99" s="75" t="str">
        <x:f>IF($C99="","",SUMIFS('Input_OL'!$K$4:$K$200,'Input_OL'!$C$4:$C$200,C99,'Input_OL'!$F$4:$F$200,B99))</x:f>
      </x:c>
      <x:c r="G99" s="75" t="str">
        <x:f>IF($C99="","",SUMIFS('Input_Inventory'!$G$4:$G$200,'Input_Inventory'!$C$4:$C$200,C99))</x:f>
      </x:c>
      <x:c r="H99" s="75" t="str">
        <x:f>IF($C99="","",SUMIFS('Input_Inventory'!$L$4:$L$200,'Input_Inventory'!$C$4:$C$200,C99,'Input_Inventory'!$F$4:$F$200,B99))</x:f>
      </x:c>
      <x:c r="I99" s="75" t="str">
        <x:f>IF($C99="","",G99+H99)</x:f>
      </x:c>
      <x:c r="J99" s="75" t="str">
        <x:f>IF($C99="","",MAX(0,F99-I99))</x:f>
      </x:c>
      <x:c r="K99" s="75" t="str">
        <x:f>IF($C99="","",SUMIFS('Master_Rules'!$G$4:$G$200,'Master_Rules'!$D$4:$D$200,C99))</x:f>
      </x:c>
      <x:c r="L99" s="75" t="str">
        <x:f>IF($C99="","",SUMIFS('Master_Rules'!$H$4:$H$200,'Master_Rules'!$D$4:$D$200,C99))</x:f>
      </x:c>
      <x:c r="M99" s="75" t="str">
        <x:f>IF($C99="","",IF(K99=0,J99,MAX(K99,CEILING(J99,L99))))</x:f>
      </x:c>
      <x:c r="N99" s="75" t="str">
        <x:f>IF($C99="","",SUMIFS('Input_OL'!$G$4:$G$200,'Input_OL'!$C$4:$C$200,C99,'Input_OL'!$F$4:$F$200,B99))</x:f>
      </x:c>
      <x:c r="O99" s="75" t="str">
        <x:f>IF($C99="","",SUMIFS('Input_OL'!$G$4:$G$200,'Input_OL'!$C$4:$C$200,C99,'Input_OL'!$F$4:$F$200,B99))</x:f>
      </x:c>
      <x:c r="P99" s="75" t="str">
        <x:f>IF($C99="","",IF(N99=0,"확인필요",IF(ABS(M99-N99)/N99&lt;=0.2,"정상","Rule초과")))</x:f>
      </x:c>
      <x:c r="Q99" s="75" t="str">
        <x:f>IF($C99="","",IF(O99=0,"확인필요",IF(ABS(M99-O99)/O99&lt;=0.3,"정상","Rule초과")))</x:f>
      </x:c>
      <x:c r="R99" s="75" t="str">
        <x:f>IF($C99="","",M99)</x:f>
      </x:c>
      <x:c r="S99" s="75" t="str">
        <x:f>IF($C99="","",R99*SUMIFS('Master_Rules'!$J$4:$J$200,'Master_Rules'!$D$4:$D$200,C99))</x:f>
      </x:c>
      <x:c r="T99" s="72" t="str">
        <x:f>IF($C99="","",IF(OR(P99="Rule초과",Q99="Rule초과"),"Flex 확인",IF(R99&gt;J99,"MOQ 조정","정상")))</x:f>
      </x:c>
    </x:row>
    <x:row r="100">
      <x:c r="A100" s="71"/>
      <x:c r="B100" s="71"/>
      <x:c r="C100" s="72"/>
      <x:c r="D100" s="72"/>
      <x:c r="E100" s="72"/>
      <x:c r="F100" s="75" t="str">
        <x:f>IF($C100="","",SUMIFS('Input_OL'!$K$4:$K$200,'Input_OL'!$C$4:$C$200,C100,'Input_OL'!$F$4:$F$200,B100))</x:f>
      </x:c>
      <x:c r="G100" s="75" t="str">
        <x:f>IF($C100="","",SUMIFS('Input_Inventory'!$G$4:$G$200,'Input_Inventory'!$C$4:$C$200,C100))</x:f>
      </x:c>
      <x:c r="H100" s="75" t="str">
        <x:f>IF($C100="","",SUMIFS('Input_Inventory'!$L$4:$L$200,'Input_Inventory'!$C$4:$C$200,C100,'Input_Inventory'!$F$4:$F$200,B100))</x:f>
      </x:c>
      <x:c r="I100" s="75" t="str">
        <x:f>IF($C100="","",G100+H100)</x:f>
      </x:c>
      <x:c r="J100" s="75" t="str">
        <x:f>IF($C100="","",MAX(0,F100-I100))</x:f>
      </x:c>
      <x:c r="K100" s="75" t="str">
        <x:f>IF($C100="","",SUMIFS('Master_Rules'!$G$4:$G$200,'Master_Rules'!$D$4:$D$200,C100))</x:f>
      </x:c>
      <x:c r="L100" s="75" t="str">
        <x:f>IF($C100="","",SUMIFS('Master_Rules'!$H$4:$H$200,'Master_Rules'!$D$4:$D$200,C100))</x:f>
      </x:c>
      <x:c r="M100" s="75" t="str">
        <x:f>IF($C100="","",IF(K100=0,J100,MAX(K100,CEILING(J100,L100))))</x:f>
      </x:c>
      <x:c r="N100" s="75" t="str">
        <x:f>IF($C100="","",SUMIFS('Input_OL'!$G$4:$G$200,'Input_OL'!$C$4:$C$200,C100,'Input_OL'!$F$4:$F$200,B100))</x:f>
      </x:c>
      <x:c r="O100" s="75" t="str">
        <x:f>IF($C100="","",SUMIFS('Input_OL'!$G$4:$G$200,'Input_OL'!$C$4:$C$200,C100,'Input_OL'!$F$4:$F$200,B100))</x:f>
      </x:c>
      <x:c r="P100" s="75" t="str">
        <x:f>IF($C100="","",IF(N100=0,"확인필요",IF(ABS(M100-N100)/N100&lt;=0.2,"정상","Rule초과")))</x:f>
      </x:c>
      <x:c r="Q100" s="75" t="str">
        <x:f>IF($C100="","",IF(O100=0,"확인필요",IF(ABS(M100-O100)/O100&lt;=0.3,"정상","Rule초과")))</x:f>
      </x:c>
      <x:c r="R100" s="75" t="str">
        <x:f>IF($C100="","",M100)</x:f>
      </x:c>
      <x:c r="S100" s="75" t="str">
        <x:f>IF($C100="","",R100*SUMIFS('Master_Rules'!$J$4:$J$200,'Master_Rules'!$D$4:$D$200,C100))</x:f>
      </x:c>
      <x:c r="T100" s="72" t="str">
        <x:f>IF($C100="","",IF(OR(P100="Rule초과",Q100="Rule초과"),"Flex 확인",IF(R100&gt;J100,"MOQ 조정","정상")))</x:f>
      </x:c>
    </x:row>
    <x:row r="101">
      <x:c r="A101" s="71"/>
      <x:c r="B101" s="71"/>
      <x:c r="C101" s="72"/>
      <x:c r="D101" s="72"/>
      <x:c r="E101" s="72"/>
      <x:c r="F101" s="75" t="str">
        <x:f>IF($C101="","",SUMIFS('Input_OL'!$K$4:$K$200,'Input_OL'!$C$4:$C$200,C101,'Input_OL'!$F$4:$F$200,B101))</x:f>
      </x:c>
      <x:c r="G101" s="75" t="str">
        <x:f>IF($C101="","",SUMIFS('Input_Inventory'!$G$4:$G$200,'Input_Inventory'!$C$4:$C$200,C101))</x:f>
      </x:c>
      <x:c r="H101" s="75" t="str">
        <x:f>IF($C101="","",SUMIFS('Input_Inventory'!$L$4:$L$200,'Input_Inventory'!$C$4:$C$200,C101,'Input_Inventory'!$F$4:$F$200,B101))</x:f>
      </x:c>
      <x:c r="I101" s="75" t="str">
        <x:f>IF($C101="","",G101+H101)</x:f>
      </x:c>
      <x:c r="J101" s="75" t="str">
        <x:f>IF($C101="","",MAX(0,F101-I101))</x:f>
      </x:c>
      <x:c r="K101" s="75" t="str">
        <x:f>IF($C101="","",SUMIFS('Master_Rules'!$G$4:$G$200,'Master_Rules'!$D$4:$D$200,C101))</x:f>
      </x:c>
      <x:c r="L101" s="75" t="str">
        <x:f>IF($C101="","",SUMIFS('Master_Rules'!$H$4:$H$200,'Master_Rules'!$D$4:$D$200,C101))</x:f>
      </x:c>
      <x:c r="M101" s="75" t="str">
        <x:f>IF($C101="","",IF(K101=0,J101,MAX(K101,CEILING(J101,L101))))</x:f>
      </x:c>
      <x:c r="N101" s="75" t="str">
        <x:f>IF($C101="","",SUMIFS('Input_OL'!$G$4:$G$200,'Input_OL'!$C$4:$C$200,C101,'Input_OL'!$F$4:$F$200,B101))</x:f>
      </x:c>
      <x:c r="O101" s="75" t="str">
        <x:f>IF($C101="","",SUMIFS('Input_OL'!$G$4:$G$200,'Input_OL'!$C$4:$C$200,C101,'Input_OL'!$F$4:$F$200,B101))</x:f>
      </x:c>
      <x:c r="P101" s="75" t="str">
        <x:f>IF($C101="","",IF(N101=0,"확인필요",IF(ABS(M101-N101)/N101&lt;=0.2,"정상","Rule초과")))</x:f>
      </x:c>
      <x:c r="Q101" s="75" t="str">
        <x:f>IF($C101="","",IF(O101=0,"확인필요",IF(ABS(M101-O101)/O101&lt;=0.3,"정상","Rule초과")))</x:f>
      </x:c>
      <x:c r="R101" s="75" t="str">
        <x:f>IF($C101="","",M101)</x:f>
      </x:c>
      <x:c r="S101" s="75" t="str">
        <x:f>IF($C101="","",R101*SUMIFS('Master_Rules'!$J$4:$J$200,'Master_Rules'!$D$4:$D$200,C101))</x:f>
      </x:c>
      <x:c r="T101" s="72" t="str">
        <x:f>IF($C101="","",IF(OR(P101="Rule초과",Q101="Rule초과"),"Flex 확인",IF(R101&gt;J101,"MOQ 조정","정상")))</x:f>
      </x:c>
    </x:row>
    <x:row r="102">
      <x:c r="A102" s="71"/>
      <x:c r="B102" s="71"/>
      <x:c r="C102" s="72"/>
      <x:c r="D102" s="72"/>
      <x:c r="E102" s="72"/>
      <x:c r="F102" s="75" t="str">
        <x:f>IF($C102="","",SUMIFS('Input_OL'!$K$4:$K$200,'Input_OL'!$C$4:$C$200,C102,'Input_OL'!$F$4:$F$200,B102))</x:f>
      </x:c>
      <x:c r="G102" s="75" t="str">
        <x:f>IF($C102="","",SUMIFS('Input_Inventory'!$G$4:$G$200,'Input_Inventory'!$C$4:$C$200,C102))</x:f>
      </x:c>
      <x:c r="H102" s="75" t="str">
        <x:f>IF($C102="","",SUMIFS('Input_Inventory'!$L$4:$L$200,'Input_Inventory'!$C$4:$C$200,C102,'Input_Inventory'!$F$4:$F$200,B102))</x:f>
      </x:c>
      <x:c r="I102" s="75" t="str">
        <x:f>IF($C102="","",G102+H102)</x:f>
      </x:c>
      <x:c r="J102" s="75" t="str">
        <x:f>IF($C102="","",MAX(0,F102-I102))</x:f>
      </x:c>
      <x:c r="K102" s="75" t="str">
        <x:f>IF($C102="","",SUMIFS('Master_Rules'!$G$4:$G$200,'Master_Rules'!$D$4:$D$200,C102))</x:f>
      </x:c>
      <x:c r="L102" s="75" t="str">
        <x:f>IF($C102="","",SUMIFS('Master_Rules'!$H$4:$H$200,'Master_Rules'!$D$4:$D$200,C102))</x:f>
      </x:c>
      <x:c r="M102" s="75" t="str">
        <x:f>IF($C102="","",IF(K102=0,J102,MAX(K102,CEILING(J102,L102))))</x:f>
      </x:c>
      <x:c r="N102" s="75" t="str">
        <x:f>IF($C102="","",SUMIFS('Input_OL'!$G$4:$G$200,'Input_OL'!$C$4:$C$200,C102,'Input_OL'!$F$4:$F$200,B102))</x:f>
      </x:c>
      <x:c r="O102" s="75" t="str">
        <x:f>IF($C102="","",SUMIFS('Input_OL'!$G$4:$G$200,'Input_OL'!$C$4:$C$200,C102,'Input_OL'!$F$4:$F$200,B102))</x:f>
      </x:c>
      <x:c r="P102" s="75" t="str">
        <x:f>IF($C102="","",IF(N102=0,"확인필요",IF(ABS(M102-N102)/N102&lt;=0.2,"정상","Rule초과")))</x:f>
      </x:c>
      <x:c r="Q102" s="75" t="str">
        <x:f>IF($C102="","",IF(O102=0,"확인필요",IF(ABS(M102-O102)/O102&lt;=0.3,"정상","Rule초과")))</x:f>
      </x:c>
      <x:c r="R102" s="75" t="str">
        <x:f>IF($C102="","",M102)</x:f>
      </x:c>
      <x:c r="S102" s="75" t="str">
        <x:f>IF($C102="","",R102*SUMIFS('Master_Rules'!$J$4:$J$200,'Master_Rules'!$D$4:$D$200,C102))</x:f>
      </x:c>
      <x:c r="T102" s="72" t="str">
        <x:f>IF($C102="","",IF(OR(P102="Rule초과",Q102="Rule초과"),"Flex 확인",IF(R102&gt;J102,"MOQ 조정","정상")))</x:f>
      </x:c>
    </x:row>
    <x:row r="103">
      <x:c r="A103" s="71"/>
      <x:c r="B103" s="71"/>
      <x:c r="C103" s="72"/>
      <x:c r="D103" s="72"/>
      <x:c r="E103" s="72"/>
      <x:c r="F103" s="75" t="str">
        <x:f>IF($C103="","",SUMIFS('Input_OL'!$K$4:$K$200,'Input_OL'!$C$4:$C$200,C103,'Input_OL'!$F$4:$F$200,B103))</x:f>
      </x:c>
      <x:c r="G103" s="75" t="str">
        <x:f>IF($C103="","",SUMIFS('Input_Inventory'!$G$4:$G$200,'Input_Inventory'!$C$4:$C$200,C103))</x:f>
      </x:c>
      <x:c r="H103" s="75" t="str">
        <x:f>IF($C103="","",SUMIFS('Input_Inventory'!$L$4:$L$200,'Input_Inventory'!$C$4:$C$200,C103,'Input_Inventory'!$F$4:$F$200,B103))</x:f>
      </x:c>
      <x:c r="I103" s="75" t="str">
        <x:f>IF($C103="","",G103+H103)</x:f>
      </x:c>
      <x:c r="J103" s="75" t="str">
        <x:f>IF($C103="","",MAX(0,F103-I103))</x:f>
      </x:c>
      <x:c r="K103" s="75" t="str">
        <x:f>IF($C103="","",SUMIFS('Master_Rules'!$G$4:$G$200,'Master_Rules'!$D$4:$D$200,C103))</x:f>
      </x:c>
      <x:c r="L103" s="75" t="str">
        <x:f>IF($C103="","",SUMIFS('Master_Rules'!$H$4:$H$200,'Master_Rules'!$D$4:$D$200,C103))</x:f>
      </x:c>
      <x:c r="M103" s="75" t="str">
        <x:f>IF($C103="","",IF(K103=0,J103,MAX(K103,CEILING(J103,L103))))</x:f>
      </x:c>
      <x:c r="N103" s="75" t="str">
        <x:f>IF($C103="","",SUMIFS('Input_OL'!$G$4:$G$200,'Input_OL'!$C$4:$C$200,C103,'Input_OL'!$F$4:$F$200,B103))</x:f>
      </x:c>
      <x:c r="O103" s="75" t="str">
        <x:f>IF($C103="","",SUMIFS('Input_OL'!$G$4:$G$200,'Input_OL'!$C$4:$C$200,C103,'Input_OL'!$F$4:$F$200,B103))</x:f>
      </x:c>
      <x:c r="P103" s="75" t="str">
        <x:f>IF($C103="","",IF(N103=0,"확인필요",IF(ABS(M103-N103)/N103&lt;=0.2,"정상","Rule초과")))</x:f>
      </x:c>
      <x:c r="Q103" s="75" t="str">
        <x:f>IF($C103="","",IF(O103=0,"확인필요",IF(ABS(M103-O103)/O103&lt;=0.3,"정상","Rule초과")))</x:f>
      </x:c>
      <x:c r="R103" s="75" t="str">
        <x:f>IF($C103="","",M103)</x:f>
      </x:c>
      <x:c r="S103" s="75" t="str">
        <x:f>IF($C103="","",R103*SUMIFS('Master_Rules'!$J$4:$J$200,'Master_Rules'!$D$4:$D$200,C103))</x:f>
      </x:c>
      <x:c r="T103" s="72" t="str">
        <x:f>IF($C103="","",IF(OR(P103="Rule초과",Q103="Rule초과"),"Flex 확인",IF(R103&gt;J103,"MOQ 조정","정상")))</x:f>
      </x:c>
    </x:row>
    <x:row r="104">
      <x:c r="A104" s="71"/>
      <x:c r="B104" s="71"/>
      <x:c r="C104" s="72"/>
      <x:c r="D104" s="72"/>
      <x:c r="E104" s="72"/>
      <x:c r="F104" s="75" t="str">
        <x:f>IF($C104="","",SUMIFS('Input_OL'!$K$4:$K$200,'Input_OL'!$C$4:$C$200,C104,'Input_OL'!$F$4:$F$200,B104))</x:f>
      </x:c>
      <x:c r="G104" s="75" t="str">
        <x:f>IF($C104="","",SUMIFS('Input_Inventory'!$G$4:$G$200,'Input_Inventory'!$C$4:$C$200,C104))</x:f>
      </x:c>
      <x:c r="H104" s="75" t="str">
        <x:f>IF($C104="","",SUMIFS('Input_Inventory'!$L$4:$L$200,'Input_Inventory'!$C$4:$C$200,C104,'Input_Inventory'!$F$4:$F$200,B104))</x:f>
      </x:c>
      <x:c r="I104" s="75" t="str">
        <x:f>IF($C104="","",G104+H104)</x:f>
      </x:c>
      <x:c r="J104" s="75" t="str">
        <x:f>IF($C104="","",MAX(0,F104-I104))</x:f>
      </x:c>
      <x:c r="K104" s="75" t="str">
        <x:f>IF($C104="","",SUMIFS('Master_Rules'!$G$4:$G$200,'Master_Rules'!$D$4:$D$200,C104))</x:f>
      </x:c>
      <x:c r="L104" s="75" t="str">
        <x:f>IF($C104="","",SUMIFS('Master_Rules'!$H$4:$H$200,'Master_Rules'!$D$4:$D$200,C104))</x:f>
      </x:c>
      <x:c r="M104" s="75" t="str">
        <x:f>IF($C104="","",IF(K104=0,J104,MAX(K104,CEILING(J104,L104))))</x:f>
      </x:c>
      <x:c r="N104" s="75" t="str">
        <x:f>IF($C104="","",SUMIFS('Input_OL'!$G$4:$G$200,'Input_OL'!$C$4:$C$200,C104,'Input_OL'!$F$4:$F$200,B104))</x:f>
      </x:c>
      <x:c r="O104" s="75" t="str">
        <x:f>IF($C104="","",SUMIFS('Input_OL'!$G$4:$G$200,'Input_OL'!$C$4:$C$200,C104,'Input_OL'!$F$4:$F$200,B104))</x:f>
      </x:c>
      <x:c r="P104" s="75" t="str">
        <x:f>IF($C104="","",IF(N104=0,"확인필요",IF(ABS(M104-N104)/N104&lt;=0.2,"정상","Rule초과")))</x:f>
      </x:c>
      <x:c r="Q104" s="75" t="str">
        <x:f>IF($C104="","",IF(O104=0,"확인필요",IF(ABS(M104-O104)/O104&lt;=0.3,"정상","Rule초과")))</x:f>
      </x:c>
      <x:c r="R104" s="75" t="str">
        <x:f>IF($C104="","",M104)</x:f>
      </x:c>
      <x:c r="S104" s="75" t="str">
        <x:f>IF($C104="","",R104*SUMIFS('Master_Rules'!$J$4:$J$200,'Master_Rules'!$D$4:$D$200,C104))</x:f>
      </x:c>
      <x:c r="T104" s="72" t="str">
        <x:f>IF($C104="","",IF(OR(P104="Rule초과",Q104="Rule초과"),"Flex 확인",IF(R104&gt;J104,"MOQ 조정","정상")))</x:f>
      </x:c>
    </x:row>
    <x:row r="105">
      <x:c r="A105" s="71"/>
      <x:c r="B105" s="71"/>
      <x:c r="C105" s="72"/>
      <x:c r="D105" s="72"/>
      <x:c r="E105" s="72"/>
      <x:c r="F105" s="75" t="str">
        <x:f>IF($C105="","",SUMIFS('Input_OL'!$K$4:$K$200,'Input_OL'!$C$4:$C$200,C105,'Input_OL'!$F$4:$F$200,B105))</x:f>
      </x:c>
      <x:c r="G105" s="75" t="str">
        <x:f>IF($C105="","",SUMIFS('Input_Inventory'!$G$4:$G$200,'Input_Inventory'!$C$4:$C$200,C105))</x:f>
      </x:c>
      <x:c r="H105" s="75" t="str">
        <x:f>IF($C105="","",SUMIFS('Input_Inventory'!$L$4:$L$200,'Input_Inventory'!$C$4:$C$200,C105,'Input_Inventory'!$F$4:$F$200,B105))</x:f>
      </x:c>
      <x:c r="I105" s="75" t="str">
        <x:f>IF($C105="","",G105+H105)</x:f>
      </x:c>
      <x:c r="J105" s="75" t="str">
        <x:f>IF($C105="","",MAX(0,F105-I105))</x:f>
      </x:c>
      <x:c r="K105" s="75" t="str">
        <x:f>IF($C105="","",SUMIFS('Master_Rules'!$G$4:$G$200,'Master_Rules'!$D$4:$D$200,C105))</x:f>
      </x:c>
      <x:c r="L105" s="75" t="str">
        <x:f>IF($C105="","",SUMIFS('Master_Rules'!$H$4:$H$200,'Master_Rules'!$D$4:$D$200,C105))</x:f>
      </x:c>
      <x:c r="M105" s="75" t="str">
        <x:f>IF($C105="","",IF(K105=0,J105,MAX(K105,CEILING(J105,L105))))</x:f>
      </x:c>
      <x:c r="N105" s="75" t="str">
        <x:f>IF($C105="","",SUMIFS('Input_OL'!$G$4:$G$200,'Input_OL'!$C$4:$C$200,C105,'Input_OL'!$F$4:$F$200,B105))</x:f>
      </x:c>
      <x:c r="O105" s="75" t="str">
        <x:f>IF($C105="","",SUMIFS('Input_OL'!$G$4:$G$200,'Input_OL'!$C$4:$C$200,C105,'Input_OL'!$F$4:$F$200,B105))</x:f>
      </x:c>
      <x:c r="P105" s="75" t="str">
        <x:f>IF($C105="","",IF(N105=0,"확인필요",IF(ABS(M105-N105)/N105&lt;=0.2,"정상","Rule초과")))</x:f>
      </x:c>
      <x:c r="Q105" s="75" t="str">
        <x:f>IF($C105="","",IF(O105=0,"확인필요",IF(ABS(M105-O105)/O105&lt;=0.3,"정상","Rule초과")))</x:f>
      </x:c>
      <x:c r="R105" s="75" t="str">
        <x:f>IF($C105="","",M105)</x:f>
      </x:c>
      <x:c r="S105" s="75" t="str">
        <x:f>IF($C105="","",R105*SUMIFS('Master_Rules'!$J$4:$J$200,'Master_Rules'!$D$4:$D$200,C105))</x:f>
      </x:c>
      <x:c r="T105" s="72" t="str">
        <x:f>IF($C105="","",IF(OR(P105="Rule초과",Q105="Rule초과"),"Flex 확인",IF(R105&gt;J105,"MOQ 조정","정상")))</x:f>
      </x:c>
    </x:row>
    <x:row r="106">
      <x:c r="A106" s="71"/>
      <x:c r="B106" s="71"/>
      <x:c r="C106" s="72"/>
      <x:c r="D106" s="72"/>
      <x:c r="E106" s="72"/>
      <x:c r="F106" s="75" t="str">
        <x:f>IF($C106="","",SUMIFS('Input_OL'!$K$4:$K$200,'Input_OL'!$C$4:$C$200,C106,'Input_OL'!$F$4:$F$200,B106))</x:f>
      </x:c>
      <x:c r="G106" s="75" t="str">
        <x:f>IF($C106="","",SUMIFS('Input_Inventory'!$G$4:$G$200,'Input_Inventory'!$C$4:$C$200,C106))</x:f>
      </x:c>
      <x:c r="H106" s="75" t="str">
        <x:f>IF($C106="","",SUMIFS('Input_Inventory'!$L$4:$L$200,'Input_Inventory'!$C$4:$C$200,C106,'Input_Inventory'!$F$4:$F$200,B106))</x:f>
      </x:c>
      <x:c r="I106" s="75" t="str">
        <x:f>IF($C106="","",G106+H106)</x:f>
      </x:c>
      <x:c r="J106" s="75" t="str">
        <x:f>IF($C106="","",MAX(0,F106-I106))</x:f>
      </x:c>
      <x:c r="K106" s="75" t="str">
        <x:f>IF($C106="","",SUMIFS('Master_Rules'!$G$4:$G$200,'Master_Rules'!$D$4:$D$200,C106))</x:f>
      </x:c>
      <x:c r="L106" s="75" t="str">
        <x:f>IF($C106="","",SUMIFS('Master_Rules'!$H$4:$H$200,'Master_Rules'!$D$4:$D$200,C106))</x:f>
      </x:c>
      <x:c r="M106" s="75" t="str">
        <x:f>IF($C106="","",IF(K106=0,J106,MAX(K106,CEILING(J106,L106))))</x:f>
      </x:c>
      <x:c r="N106" s="75" t="str">
        <x:f>IF($C106="","",SUMIFS('Input_OL'!$G$4:$G$200,'Input_OL'!$C$4:$C$200,C106,'Input_OL'!$F$4:$F$200,B106))</x:f>
      </x:c>
      <x:c r="O106" s="75" t="str">
        <x:f>IF($C106="","",SUMIFS('Input_OL'!$G$4:$G$200,'Input_OL'!$C$4:$C$200,C106,'Input_OL'!$F$4:$F$200,B106))</x:f>
      </x:c>
      <x:c r="P106" s="75" t="str">
        <x:f>IF($C106="","",IF(N106=0,"확인필요",IF(ABS(M106-N106)/N106&lt;=0.2,"정상","Rule초과")))</x:f>
      </x:c>
      <x:c r="Q106" s="75" t="str">
        <x:f>IF($C106="","",IF(O106=0,"확인필요",IF(ABS(M106-O106)/O106&lt;=0.3,"정상","Rule초과")))</x:f>
      </x:c>
      <x:c r="R106" s="75" t="str">
        <x:f>IF($C106="","",M106)</x:f>
      </x:c>
      <x:c r="S106" s="75" t="str">
        <x:f>IF($C106="","",R106*SUMIFS('Master_Rules'!$J$4:$J$200,'Master_Rules'!$D$4:$D$200,C106))</x:f>
      </x:c>
      <x:c r="T106" s="72" t="str">
        <x:f>IF($C106="","",IF(OR(P106="Rule초과",Q106="Rule초과"),"Flex 확인",IF(R106&gt;J106,"MOQ 조정","정상")))</x:f>
      </x:c>
    </x:row>
    <x:row r="107">
      <x:c r="A107" s="71"/>
      <x:c r="B107" s="71"/>
      <x:c r="C107" s="72"/>
      <x:c r="D107" s="72"/>
      <x:c r="E107" s="72"/>
      <x:c r="F107" s="75" t="str">
        <x:f>IF($C107="","",SUMIFS('Input_OL'!$K$4:$K$200,'Input_OL'!$C$4:$C$200,C107,'Input_OL'!$F$4:$F$200,B107))</x:f>
      </x:c>
      <x:c r="G107" s="75" t="str">
        <x:f>IF($C107="","",SUMIFS('Input_Inventory'!$G$4:$G$200,'Input_Inventory'!$C$4:$C$200,C107))</x:f>
      </x:c>
      <x:c r="H107" s="75" t="str">
        <x:f>IF($C107="","",SUMIFS('Input_Inventory'!$L$4:$L$200,'Input_Inventory'!$C$4:$C$200,C107,'Input_Inventory'!$F$4:$F$200,B107))</x:f>
      </x:c>
      <x:c r="I107" s="75" t="str">
        <x:f>IF($C107="","",G107+H107)</x:f>
      </x:c>
      <x:c r="J107" s="75" t="str">
        <x:f>IF($C107="","",MAX(0,F107-I107))</x:f>
      </x:c>
      <x:c r="K107" s="75" t="str">
        <x:f>IF($C107="","",SUMIFS('Master_Rules'!$G$4:$G$200,'Master_Rules'!$D$4:$D$200,C107))</x:f>
      </x:c>
      <x:c r="L107" s="75" t="str">
        <x:f>IF($C107="","",SUMIFS('Master_Rules'!$H$4:$H$200,'Master_Rules'!$D$4:$D$200,C107))</x:f>
      </x:c>
      <x:c r="M107" s="75" t="str">
        <x:f>IF($C107="","",IF(K107=0,J107,MAX(K107,CEILING(J107,L107))))</x:f>
      </x:c>
      <x:c r="N107" s="75" t="str">
        <x:f>IF($C107="","",SUMIFS('Input_OL'!$G$4:$G$200,'Input_OL'!$C$4:$C$200,C107,'Input_OL'!$F$4:$F$200,B107))</x:f>
      </x:c>
      <x:c r="O107" s="75" t="str">
        <x:f>IF($C107="","",SUMIFS('Input_OL'!$G$4:$G$200,'Input_OL'!$C$4:$C$200,C107,'Input_OL'!$F$4:$F$200,B107))</x:f>
      </x:c>
      <x:c r="P107" s="75" t="str">
        <x:f>IF($C107="","",IF(N107=0,"확인필요",IF(ABS(M107-N107)/N107&lt;=0.2,"정상","Rule초과")))</x:f>
      </x:c>
      <x:c r="Q107" s="75" t="str">
        <x:f>IF($C107="","",IF(O107=0,"확인필요",IF(ABS(M107-O107)/O107&lt;=0.3,"정상","Rule초과")))</x:f>
      </x:c>
      <x:c r="R107" s="75" t="str">
        <x:f>IF($C107="","",M107)</x:f>
      </x:c>
      <x:c r="S107" s="75" t="str">
        <x:f>IF($C107="","",R107*SUMIFS('Master_Rules'!$J$4:$J$200,'Master_Rules'!$D$4:$D$200,C107))</x:f>
      </x:c>
      <x:c r="T107" s="72" t="str">
        <x:f>IF($C107="","",IF(OR(P107="Rule초과",Q107="Rule초과"),"Flex 확인",IF(R107&gt;J107,"MOQ 조정","정상")))</x:f>
      </x:c>
    </x:row>
    <x:row r="108">
      <x:c r="A108" s="71"/>
      <x:c r="B108" s="71"/>
      <x:c r="C108" s="72"/>
      <x:c r="D108" s="72"/>
      <x:c r="E108" s="72"/>
      <x:c r="F108" s="75" t="str">
        <x:f>IF($C108="","",SUMIFS('Input_OL'!$K$4:$K$200,'Input_OL'!$C$4:$C$200,C108,'Input_OL'!$F$4:$F$200,B108))</x:f>
      </x:c>
      <x:c r="G108" s="75" t="str">
        <x:f>IF($C108="","",SUMIFS('Input_Inventory'!$G$4:$G$200,'Input_Inventory'!$C$4:$C$200,C108))</x:f>
      </x:c>
      <x:c r="H108" s="75" t="str">
        <x:f>IF($C108="","",SUMIFS('Input_Inventory'!$L$4:$L$200,'Input_Inventory'!$C$4:$C$200,C108,'Input_Inventory'!$F$4:$F$200,B108))</x:f>
      </x:c>
      <x:c r="I108" s="75" t="str">
        <x:f>IF($C108="","",G108+H108)</x:f>
      </x:c>
      <x:c r="J108" s="75" t="str">
        <x:f>IF($C108="","",MAX(0,F108-I108))</x:f>
      </x:c>
      <x:c r="K108" s="75" t="str">
        <x:f>IF($C108="","",SUMIFS('Master_Rules'!$G$4:$G$200,'Master_Rules'!$D$4:$D$200,C108))</x:f>
      </x:c>
      <x:c r="L108" s="75" t="str">
        <x:f>IF($C108="","",SUMIFS('Master_Rules'!$H$4:$H$200,'Master_Rules'!$D$4:$D$200,C108))</x:f>
      </x:c>
      <x:c r="M108" s="75" t="str">
        <x:f>IF($C108="","",IF(K108=0,J108,MAX(K108,CEILING(J108,L108))))</x:f>
      </x:c>
      <x:c r="N108" s="75" t="str">
        <x:f>IF($C108="","",SUMIFS('Input_OL'!$G$4:$G$200,'Input_OL'!$C$4:$C$200,C108,'Input_OL'!$F$4:$F$200,B108))</x:f>
      </x:c>
      <x:c r="O108" s="75" t="str">
        <x:f>IF($C108="","",SUMIFS('Input_OL'!$G$4:$G$200,'Input_OL'!$C$4:$C$200,C108,'Input_OL'!$F$4:$F$200,B108))</x:f>
      </x:c>
      <x:c r="P108" s="75" t="str">
        <x:f>IF($C108="","",IF(N108=0,"확인필요",IF(ABS(M108-N108)/N108&lt;=0.2,"정상","Rule초과")))</x:f>
      </x:c>
      <x:c r="Q108" s="75" t="str">
        <x:f>IF($C108="","",IF(O108=0,"확인필요",IF(ABS(M108-O108)/O108&lt;=0.3,"정상","Rule초과")))</x:f>
      </x:c>
      <x:c r="R108" s="75" t="str">
        <x:f>IF($C108="","",M108)</x:f>
      </x:c>
      <x:c r="S108" s="75" t="str">
        <x:f>IF($C108="","",R108*SUMIFS('Master_Rules'!$J$4:$J$200,'Master_Rules'!$D$4:$D$200,C108))</x:f>
      </x:c>
      <x:c r="T108" s="72" t="str">
        <x:f>IF($C108="","",IF(OR(P108="Rule초과",Q108="Rule초과"),"Flex 확인",IF(R108&gt;J108,"MOQ 조정","정상")))</x:f>
      </x:c>
    </x:row>
    <x:row r="109">
      <x:c r="A109" s="71"/>
      <x:c r="B109" s="71"/>
      <x:c r="C109" s="72"/>
      <x:c r="D109" s="72"/>
      <x:c r="E109" s="72"/>
      <x:c r="F109" s="75" t="str">
        <x:f>IF($C109="","",SUMIFS('Input_OL'!$K$4:$K$200,'Input_OL'!$C$4:$C$200,C109,'Input_OL'!$F$4:$F$200,B109))</x:f>
      </x:c>
      <x:c r="G109" s="75" t="str">
        <x:f>IF($C109="","",SUMIFS('Input_Inventory'!$G$4:$G$200,'Input_Inventory'!$C$4:$C$200,C109))</x:f>
      </x:c>
      <x:c r="H109" s="75" t="str">
        <x:f>IF($C109="","",SUMIFS('Input_Inventory'!$L$4:$L$200,'Input_Inventory'!$C$4:$C$200,C109,'Input_Inventory'!$F$4:$F$200,B109))</x:f>
      </x:c>
      <x:c r="I109" s="75" t="str">
        <x:f>IF($C109="","",G109+H109)</x:f>
      </x:c>
      <x:c r="J109" s="75" t="str">
        <x:f>IF($C109="","",MAX(0,F109-I109))</x:f>
      </x:c>
      <x:c r="K109" s="75" t="str">
        <x:f>IF($C109="","",SUMIFS('Master_Rules'!$G$4:$G$200,'Master_Rules'!$D$4:$D$200,C109))</x:f>
      </x:c>
      <x:c r="L109" s="75" t="str">
        <x:f>IF($C109="","",SUMIFS('Master_Rules'!$H$4:$H$200,'Master_Rules'!$D$4:$D$200,C109))</x:f>
      </x:c>
      <x:c r="M109" s="75" t="str">
        <x:f>IF($C109="","",IF(K109=0,J109,MAX(K109,CEILING(J109,L109))))</x:f>
      </x:c>
      <x:c r="N109" s="75" t="str">
        <x:f>IF($C109="","",SUMIFS('Input_OL'!$G$4:$G$200,'Input_OL'!$C$4:$C$200,C109,'Input_OL'!$F$4:$F$200,B109))</x:f>
      </x:c>
      <x:c r="O109" s="75" t="str">
        <x:f>IF($C109="","",SUMIFS('Input_OL'!$G$4:$G$200,'Input_OL'!$C$4:$C$200,C109,'Input_OL'!$F$4:$F$200,B109))</x:f>
      </x:c>
      <x:c r="P109" s="75" t="str">
        <x:f>IF($C109="","",IF(N109=0,"확인필요",IF(ABS(M109-N109)/N109&lt;=0.2,"정상","Rule초과")))</x:f>
      </x:c>
      <x:c r="Q109" s="75" t="str">
        <x:f>IF($C109="","",IF(O109=0,"확인필요",IF(ABS(M109-O109)/O109&lt;=0.3,"정상","Rule초과")))</x:f>
      </x:c>
      <x:c r="R109" s="75" t="str">
        <x:f>IF($C109="","",M109)</x:f>
      </x:c>
      <x:c r="S109" s="75" t="str">
        <x:f>IF($C109="","",R109*SUMIFS('Master_Rules'!$J$4:$J$200,'Master_Rules'!$D$4:$D$200,C109))</x:f>
      </x:c>
      <x:c r="T109" s="72" t="str">
        <x:f>IF($C109="","",IF(OR(P109="Rule초과",Q109="Rule초과"),"Flex 확인",IF(R109&gt;J109,"MOQ 조정","정상")))</x:f>
      </x:c>
    </x:row>
    <x:row r="110">
      <x:c r="A110" s="71"/>
      <x:c r="B110" s="71"/>
      <x:c r="C110" s="72"/>
      <x:c r="D110" s="72"/>
      <x:c r="E110" s="72"/>
      <x:c r="F110" s="75" t="str">
        <x:f>IF($C110="","",SUMIFS('Input_OL'!$K$4:$K$200,'Input_OL'!$C$4:$C$200,C110,'Input_OL'!$F$4:$F$200,B110))</x:f>
      </x:c>
      <x:c r="G110" s="75" t="str">
        <x:f>IF($C110="","",SUMIFS('Input_Inventory'!$G$4:$G$200,'Input_Inventory'!$C$4:$C$200,C110))</x:f>
      </x:c>
      <x:c r="H110" s="75" t="str">
        <x:f>IF($C110="","",SUMIFS('Input_Inventory'!$L$4:$L$200,'Input_Inventory'!$C$4:$C$200,C110,'Input_Inventory'!$F$4:$F$200,B110))</x:f>
      </x:c>
      <x:c r="I110" s="75" t="str">
        <x:f>IF($C110="","",G110+H110)</x:f>
      </x:c>
      <x:c r="J110" s="75" t="str">
        <x:f>IF($C110="","",MAX(0,F110-I110))</x:f>
      </x:c>
      <x:c r="K110" s="75" t="str">
        <x:f>IF($C110="","",SUMIFS('Master_Rules'!$G$4:$G$200,'Master_Rules'!$D$4:$D$200,C110))</x:f>
      </x:c>
      <x:c r="L110" s="75" t="str">
        <x:f>IF($C110="","",SUMIFS('Master_Rules'!$H$4:$H$200,'Master_Rules'!$D$4:$D$200,C110))</x:f>
      </x:c>
      <x:c r="M110" s="75" t="str">
        <x:f>IF($C110="","",IF(K110=0,J110,MAX(K110,CEILING(J110,L110))))</x:f>
      </x:c>
      <x:c r="N110" s="75" t="str">
        <x:f>IF($C110="","",SUMIFS('Input_OL'!$G$4:$G$200,'Input_OL'!$C$4:$C$200,C110,'Input_OL'!$F$4:$F$200,B110))</x:f>
      </x:c>
      <x:c r="O110" s="75" t="str">
        <x:f>IF($C110="","",SUMIFS('Input_OL'!$G$4:$G$200,'Input_OL'!$C$4:$C$200,C110,'Input_OL'!$F$4:$F$200,B110))</x:f>
      </x:c>
      <x:c r="P110" s="75" t="str">
        <x:f>IF($C110="","",IF(N110=0,"확인필요",IF(ABS(M110-N110)/N110&lt;=0.2,"정상","Rule초과")))</x:f>
      </x:c>
      <x:c r="Q110" s="75" t="str">
        <x:f>IF($C110="","",IF(O110=0,"확인필요",IF(ABS(M110-O110)/O110&lt;=0.3,"정상","Rule초과")))</x:f>
      </x:c>
      <x:c r="R110" s="75" t="str">
        <x:f>IF($C110="","",M110)</x:f>
      </x:c>
      <x:c r="S110" s="75" t="str">
        <x:f>IF($C110="","",R110*SUMIFS('Master_Rules'!$J$4:$J$200,'Master_Rules'!$D$4:$D$200,C110))</x:f>
      </x:c>
      <x:c r="T110" s="72" t="str">
        <x:f>IF($C110="","",IF(OR(P110="Rule초과",Q110="Rule초과"),"Flex 확인",IF(R110&gt;J110,"MOQ 조정","정상")))</x:f>
      </x:c>
    </x:row>
    <x:row r="111">
      <x:c r="A111" s="71"/>
      <x:c r="B111" s="71"/>
      <x:c r="C111" s="72"/>
      <x:c r="D111" s="72"/>
      <x:c r="E111" s="72"/>
      <x:c r="F111" s="75" t="str">
        <x:f>IF($C111="","",SUMIFS('Input_OL'!$K$4:$K$200,'Input_OL'!$C$4:$C$200,C111,'Input_OL'!$F$4:$F$200,B111))</x:f>
      </x:c>
      <x:c r="G111" s="75" t="str">
        <x:f>IF($C111="","",SUMIFS('Input_Inventory'!$G$4:$G$200,'Input_Inventory'!$C$4:$C$200,C111))</x:f>
      </x:c>
      <x:c r="H111" s="75" t="str">
        <x:f>IF($C111="","",SUMIFS('Input_Inventory'!$L$4:$L$200,'Input_Inventory'!$C$4:$C$200,C111,'Input_Inventory'!$F$4:$F$200,B111))</x:f>
      </x:c>
      <x:c r="I111" s="75" t="str">
        <x:f>IF($C111="","",G111+H111)</x:f>
      </x:c>
      <x:c r="J111" s="75" t="str">
        <x:f>IF($C111="","",MAX(0,F111-I111))</x:f>
      </x:c>
      <x:c r="K111" s="75" t="str">
        <x:f>IF($C111="","",SUMIFS('Master_Rules'!$G$4:$G$200,'Master_Rules'!$D$4:$D$200,C111))</x:f>
      </x:c>
      <x:c r="L111" s="75" t="str">
        <x:f>IF($C111="","",SUMIFS('Master_Rules'!$H$4:$H$200,'Master_Rules'!$D$4:$D$200,C111))</x:f>
      </x:c>
      <x:c r="M111" s="75" t="str">
        <x:f>IF($C111="","",IF(K111=0,J111,MAX(K111,CEILING(J111,L111))))</x:f>
      </x:c>
      <x:c r="N111" s="75" t="str">
        <x:f>IF($C111="","",SUMIFS('Input_OL'!$G$4:$G$200,'Input_OL'!$C$4:$C$200,C111,'Input_OL'!$F$4:$F$200,B111))</x:f>
      </x:c>
      <x:c r="O111" s="75" t="str">
        <x:f>IF($C111="","",SUMIFS('Input_OL'!$G$4:$G$200,'Input_OL'!$C$4:$C$200,C111,'Input_OL'!$F$4:$F$200,B111))</x:f>
      </x:c>
      <x:c r="P111" s="75" t="str">
        <x:f>IF($C111="","",IF(N111=0,"확인필요",IF(ABS(M111-N111)/N111&lt;=0.2,"정상","Rule초과")))</x:f>
      </x:c>
      <x:c r="Q111" s="75" t="str">
        <x:f>IF($C111="","",IF(O111=0,"확인필요",IF(ABS(M111-O111)/O111&lt;=0.3,"정상","Rule초과")))</x:f>
      </x:c>
      <x:c r="R111" s="75" t="str">
        <x:f>IF($C111="","",M111)</x:f>
      </x:c>
      <x:c r="S111" s="75" t="str">
        <x:f>IF($C111="","",R111*SUMIFS('Master_Rules'!$J$4:$J$200,'Master_Rules'!$D$4:$D$200,C111))</x:f>
      </x:c>
      <x:c r="T111" s="72" t="str">
        <x:f>IF($C111="","",IF(OR(P111="Rule초과",Q111="Rule초과"),"Flex 확인",IF(R111&gt;J111,"MOQ 조정","정상")))</x:f>
      </x:c>
    </x:row>
    <x:row r="112">
      <x:c r="A112" s="71"/>
      <x:c r="B112" s="71"/>
      <x:c r="C112" s="72"/>
      <x:c r="D112" s="72"/>
      <x:c r="E112" s="72"/>
      <x:c r="F112" s="75" t="str">
        <x:f>IF($C112="","",SUMIFS('Input_OL'!$K$4:$K$200,'Input_OL'!$C$4:$C$200,C112,'Input_OL'!$F$4:$F$200,B112))</x:f>
      </x:c>
      <x:c r="G112" s="75" t="str">
        <x:f>IF($C112="","",SUMIFS('Input_Inventory'!$G$4:$G$200,'Input_Inventory'!$C$4:$C$200,C112))</x:f>
      </x:c>
      <x:c r="H112" s="75" t="str">
        <x:f>IF($C112="","",SUMIFS('Input_Inventory'!$L$4:$L$200,'Input_Inventory'!$C$4:$C$200,C112,'Input_Inventory'!$F$4:$F$200,B112))</x:f>
      </x:c>
      <x:c r="I112" s="75" t="str">
        <x:f>IF($C112="","",G112+H112)</x:f>
      </x:c>
      <x:c r="J112" s="75" t="str">
        <x:f>IF($C112="","",MAX(0,F112-I112))</x:f>
      </x:c>
      <x:c r="K112" s="75" t="str">
        <x:f>IF($C112="","",SUMIFS('Master_Rules'!$G$4:$G$200,'Master_Rules'!$D$4:$D$200,C112))</x:f>
      </x:c>
      <x:c r="L112" s="75" t="str">
        <x:f>IF($C112="","",SUMIFS('Master_Rules'!$H$4:$H$200,'Master_Rules'!$D$4:$D$200,C112))</x:f>
      </x:c>
      <x:c r="M112" s="75" t="str">
        <x:f>IF($C112="","",IF(K112=0,J112,MAX(K112,CEILING(J112,L112))))</x:f>
      </x:c>
      <x:c r="N112" s="75" t="str">
        <x:f>IF($C112="","",SUMIFS('Input_OL'!$G$4:$G$200,'Input_OL'!$C$4:$C$200,C112,'Input_OL'!$F$4:$F$200,B112))</x:f>
      </x:c>
      <x:c r="O112" s="75" t="str">
        <x:f>IF($C112="","",SUMIFS('Input_OL'!$G$4:$G$200,'Input_OL'!$C$4:$C$200,C112,'Input_OL'!$F$4:$F$200,B112))</x:f>
      </x:c>
      <x:c r="P112" s="75" t="str">
        <x:f>IF($C112="","",IF(N112=0,"확인필요",IF(ABS(M112-N112)/N112&lt;=0.2,"정상","Rule초과")))</x:f>
      </x:c>
      <x:c r="Q112" s="75" t="str">
        <x:f>IF($C112="","",IF(O112=0,"확인필요",IF(ABS(M112-O112)/O112&lt;=0.3,"정상","Rule초과")))</x:f>
      </x:c>
      <x:c r="R112" s="75" t="str">
        <x:f>IF($C112="","",M112)</x:f>
      </x:c>
      <x:c r="S112" s="75" t="str">
        <x:f>IF($C112="","",R112*SUMIFS('Master_Rules'!$J$4:$J$200,'Master_Rules'!$D$4:$D$200,C112))</x:f>
      </x:c>
      <x:c r="T112" s="72" t="str">
        <x:f>IF($C112="","",IF(OR(P112="Rule초과",Q112="Rule초과"),"Flex 확인",IF(R112&gt;J112,"MOQ 조정","정상")))</x:f>
      </x:c>
    </x:row>
    <x:row r="113">
      <x:c r="A113" s="71"/>
      <x:c r="B113" s="71"/>
      <x:c r="C113" s="72"/>
      <x:c r="D113" s="72"/>
      <x:c r="E113" s="72"/>
      <x:c r="F113" s="75" t="str">
        <x:f>IF($C113="","",SUMIFS('Input_OL'!$K$4:$K$200,'Input_OL'!$C$4:$C$200,C113,'Input_OL'!$F$4:$F$200,B113))</x:f>
      </x:c>
      <x:c r="G113" s="75" t="str">
        <x:f>IF($C113="","",SUMIFS('Input_Inventory'!$G$4:$G$200,'Input_Inventory'!$C$4:$C$200,C113))</x:f>
      </x:c>
      <x:c r="H113" s="75" t="str">
        <x:f>IF($C113="","",SUMIFS('Input_Inventory'!$L$4:$L$200,'Input_Inventory'!$C$4:$C$200,C113,'Input_Inventory'!$F$4:$F$200,B113))</x:f>
      </x:c>
      <x:c r="I113" s="75" t="str">
        <x:f>IF($C113="","",G113+H113)</x:f>
      </x:c>
      <x:c r="J113" s="75" t="str">
        <x:f>IF($C113="","",MAX(0,F113-I113))</x:f>
      </x:c>
      <x:c r="K113" s="75" t="str">
        <x:f>IF($C113="","",SUMIFS('Master_Rules'!$G$4:$G$200,'Master_Rules'!$D$4:$D$200,C113))</x:f>
      </x:c>
      <x:c r="L113" s="75" t="str">
        <x:f>IF($C113="","",SUMIFS('Master_Rules'!$H$4:$H$200,'Master_Rules'!$D$4:$D$200,C113))</x:f>
      </x:c>
      <x:c r="M113" s="75" t="str">
        <x:f>IF($C113="","",IF(K113=0,J113,MAX(K113,CEILING(J113,L113))))</x:f>
      </x:c>
      <x:c r="N113" s="75" t="str">
        <x:f>IF($C113="","",SUMIFS('Input_OL'!$G$4:$G$200,'Input_OL'!$C$4:$C$200,C113,'Input_OL'!$F$4:$F$200,B113))</x:f>
      </x:c>
      <x:c r="O113" s="75" t="str">
        <x:f>IF($C113="","",SUMIFS('Input_OL'!$G$4:$G$200,'Input_OL'!$C$4:$C$200,C113,'Input_OL'!$F$4:$F$200,B113))</x:f>
      </x:c>
      <x:c r="P113" s="75" t="str">
        <x:f>IF($C113="","",IF(N113=0,"확인필요",IF(ABS(M113-N113)/N113&lt;=0.2,"정상","Rule초과")))</x:f>
      </x:c>
      <x:c r="Q113" s="75" t="str">
        <x:f>IF($C113="","",IF(O113=0,"확인필요",IF(ABS(M113-O113)/O113&lt;=0.3,"정상","Rule초과")))</x:f>
      </x:c>
      <x:c r="R113" s="75" t="str">
        <x:f>IF($C113="","",M113)</x:f>
      </x:c>
      <x:c r="S113" s="75" t="str">
        <x:f>IF($C113="","",R113*SUMIFS('Master_Rules'!$J$4:$J$200,'Master_Rules'!$D$4:$D$200,C113))</x:f>
      </x:c>
      <x:c r="T113" s="72" t="str">
        <x:f>IF($C113="","",IF(OR(P113="Rule초과",Q113="Rule초과"),"Flex 확인",IF(R113&gt;J113,"MOQ 조정","정상")))</x:f>
      </x:c>
    </x:row>
    <x:row r="114">
      <x:c r="A114" s="71"/>
      <x:c r="B114" s="71"/>
      <x:c r="C114" s="72"/>
      <x:c r="D114" s="72"/>
      <x:c r="E114" s="72"/>
      <x:c r="F114" s="75" t="str">
        <x:f>IF($C114="","",SUMIFS('Input_OL'!$K$4:$K$200,'Input_OL'!$C$4:$C$200,C114,'Input_OL'!$F$4:$F$200,B114))</x:f>
      </x:c>
      <x:c r="G114" s="75" t="str">
        <x:f>IF($C114="","",SUMIFS('Input_Inventory'!$G$4:$G$200,'Input_Inventory'!$C$4:$C$200,C114))</x:f>
      </x:c>
      <x:c r="H114" s="75" t="str">
        <x:f>IF($C114="","",SUMIFS('Input_Inventory'!$L$4:$L$200,'Input_Inventory'!$C$4:$C$200,C114,'Input_Inventory'!$F$4:$F$200,B114))</x:f>
      </x:c>
      <x:c r="I114" s="75" t="str">
        <x:f>IF($C114="","",G114+H114)</x:f>
      </x:c>
      <x:c r="J114" s="75" t="str">
        <x:f>IF($C114="","",MAX(0,F114-I114))</x:f>
      </x:c>
      <x:c r="K114" s="75" t="str">
        <x:f>IF($C114="","",SUMIFS('Master_Rules'!$G$4:$G$200,'Master_Rules'!$D$4:$D$200,C114))</x:f>
      </x:c>
      <x:c r="L114" s="75" t="str">
        <x:f>IF($C114="","",SUMIFS('Master_Rules'!$H$4:$H$200,'Master_Rules'!$D$4:$D$200,C114))</x:f>
      </x:c>
      <x:c r="M114" s="75" t="str">
        <x:f>IF($C114="","",IF(K114=0,J114,MAX(K114,CEILING(J114,L114))))</x:f>
      </x:c>
      <x:c r="N114" s="75" t="str">
        <x:f>IF($C114="","",SUMIFS('Input_OL'!$G$4:$G$200,'Input_OL'!$C$4:$C$200,C114,'Input_OL'!$F$4:$F$200,B114))</x:f>
      </x:c>
      <x:c r="O114" s="75" t="str">
        <x:f>IF($C114="","",SUMIFS('Input_OL'!$G$4:$G$200,'Input_OL'!$C$4:$C$200,C114,'Input_OL'!$F$4:$F$200,B114))</x:f>
      </x:c>
      <x:c r="P114" s="75" t="str">
        <x:f>IF($C114="","",IF(N114=0,"확인필요",IF(ABS(M114-N114)/N114&lt;=0.2,"정상","Rule초과")))</x:f>
      </x:c>
      <x:c r="Q114" s="75" t="str">
        <x:f>IF($C114="","",IF(O114=0,"확인필요",IF(ABS(M114-O114)/O114&lt;=0.3,"정상","Rule초과")))</x:f>
      </x:c>
      <x:c r="R114" s="75" t="str">
        <x:f>IF($C114="","",M114)</x:f>
      </x:c>
      <x:c r="S114" s="75" t="str">
        <x:f>IF($C114="","",R114*SUMIFS('Master_Rules'!$J$4:$J$200,'Master_Rules'!$D$4:$D$200,C114))</x:f>
      </x:c>
      <x:c r="T114" s="72" t="str">
        <x:f>IF($C114="","",IF(OR(P114="Rule초과",Q114="Rule초과"),"Flex 확인",IF(R114&gt;J114,"MOQ 조정","정상")))</x:f>
      </x:c>
    </x:row>
    <x:row r="115">
      <x:c r="A115" s="71"/>
      <x:c r="B115" s="71"/>
      <x:c r="C115" s="72"/>
      <x:c r="D115" s="72"/>
      <x:c r="E115" s="72"/>
      <x:c r="F115" s="75" t="str">
        <x:f>IF($C115="","",SUMIFS('Input_OL'!$K$4:$K$200,'Input_OL'!$C$4:$C$200,C115,'Input_OL'!$F$4:$F$200,B115))</x:f>
      </x:c>
      <x:c r="G115" s="75" t="str">
        <x:f>IF($C115="","",SUMIFS('Input_Inventory'!$G$4:$G$200,'Input_Inventory'!$C$4:$C$200,C115))</x:f>
      </x:c>
      <x:c r="H115" s="75" t="str">
        <x:f>IF($C115="","",SUMIFS('Input_Inventory'!$L$4:$L$200,'Input_Inventory'!$C$4:$C$200,C115,'Input_Inventory'!$F$4:$F$200,B115))</x:f>
      </x:c>
      <x:c r="I115" s="75" t="str">
        <x:f>IF($C115="","",G115+H115)</x:f>
      </x:c>
      <x:c r="J115" s="75" t="str">
        <x:f>IF($C115="","",MAX(0,F115-I115))</x:f>
      </x:c>
      <x:c r="K115" s="75" t="str">
        <x:f>IF($C115="","",SUMIFS('Master_Rules'!$G$4:$G$200,'Master_Rules'!$D$4:$D$200,C115))</x:f>
      </x:c>
      <x:c r="L115" s="75" t="str">
        <x:f>IF($C115="","",SUMIFS('Master_Rules'!$H$4:$H$200,'Master_Rules'!$D$4:$D$200,C115))</x:f>
      </x:c>
      <x:c r="M115" s="75" t="str">
        <x:f>IF($C115="","",IF(K115=0,J115,MAX(K115,CEILING(J115,L115))))</x:f>
      </x:c>
      <x:c r="N115" s="75" t="str">
        <x:f>IF($C115="","",SUMIFS('Input_OL'!$G$4:$G$200,'Input_OL'!$C$4:$C$200,C115,'Input_OL'!$F$4:$F$200,B115))</x:f>
      </x:c>
      <x:c r="O115" s="75" t="str">
        <x:f>IF($C115="","",SUMIFS('Input_OL'!$G$4:$G$200,'Input_OL'!$C$4:$C$200,C115,'Input_OL'!$F$4:$F$200,B115))</x:f>
      </x:c>
      <x:c r="P115" s="75" t="str">
        <x:f>IF($C115="","",IF(N115=0,"확인필요",IF(ABS(M115-N115)/N115&lt;=0.2,"정상","Rule초과")))</x:f>
      </x:c>
      <x:c r="Q115" s="75" t="str">
        <x:f>IF($C115="","",IF(O115=0,"확인필요",IF(ABS(M115-O115)/O115&lt;=0.3,"정상","Rule초과")))</x:f>
      </x:c>
      <x:c r="R115" s="75" t="str">
        <x:f>IF($C115="","",M115)</x:f>
      </x:c>
      <x:c r="S115" s="75" t="str">
        <x:f>IF($C115="","",R115*SUMIFS('Master_Rules'!$J$4:$J$200,'Master_Rules'!$D$4:$D$200,C115))</x:f>
      </x:c>
      <x:c r="T115" s="72" t="str">
        <x:f>IF($C115="","",IF(OR(P115="Rule초과",Q115="Rule초과"),"Flex 확인",IF(R115&gt;J115,"MOQ 조정","정상")))</x:f>
      </x:c>
    </x:row>
    <x:row r="116">
      <x:c r="A116" s="71"/>
      <x:c r="B116" s="71"/>
      <x:c r="C116" s="72"/>
      <x:c r="D116" s="72"/>
      <x:c r="E116" s="72"/>
      <x:c r="F116" s="75" t="str">
        <x:f>IF($C116="","",SUMIFS('Input_OL'!$K$4:$K$200,'Input_OL'!$C$4:$C$200,C116,'Input_OL'!$F$4:$F$200,B116))</x:f>
      </x:c>
      <x:c r="G116" s="75" t="str">
        <x:f>IF($C116="","",SUMIFS('Input_Inventory'!$G$4:$G$200,'Input_Inventory'!$C$4:$C$200,C116))</x:f>
      </x:c>
      <x:c r="H116" s="75" t="str">
        <x:f>IF($C116="","",SUMIFS('Input_Inventory'!$L$4:$L$200,'Input_Inventory'!$C$4:$C$200,C116,'Input_Inventory'!$F$4:$F$200,B116))</x:f>
      </x:c>
      <x:c r="I116" s="75" t="str">
        <x:f>IF($C116="","",G116+H116)</x:f>
      </x:c>
      <x:c r="J116" s="75" t="str">
        <x:f>IF($C116="","",MAX(0,F116-I116))</x:f>
      </x:c>
      <x:c r="K116" s="75" t="str">
        <x:f>IF($C116="","",SUMIFS('Master_Rules'!$G$4:$G$200,'Master_Rules'!$D$4:$D$200,C116))</x:f>
      </x:c>
      <x:c r="L116" s="75" t="str">
        <x:f>IF($C116="","",SUMIFS('Master_Rules'!$H$4:$H$200,'Master_Rules'!$D$4:$D$200,C116))</x:f>
      </x:c>
      <x:c r="M116" s="75" t="str">
        <x:f>IF($C116="","",IF(K116=0,J116,MAX(K116,CEILING(J116,L116))))</x:f>
      </x:c>
      <x:c r="N116" s="75" t="str">
        <x:f>IF($C116="","",SUMIFS('Input_OL'!$G$4:$G$200,'Input_OL'!$C$4:$C$200,C116,'Input_OL'!$F$4:$F$200,B116))</x:f>
      </x:c>
      <x:c r="O116" s="75" t="str">
        <x:f>IF($C116="","",SUMIFS('Input_OL'!$G$4:$G$200,'Input_OL'!$C$4:$C$200,C116,'Input_OL'!$F$4:$F$200,B116))</x:f>
      </x:c>
      <x:c r="P116" s="75" t="str">
        <x:f>IF($C116="","",IF(N116=0,"확인필요",IF(ABS(M116-N116)/N116&lt;=0.2,"정상","Rule초과")))</x:f>
      </x:c>
      <x:c r="Q116" s="75" t="str">
        <x:f>IF($C116="","",IF(O116=0,"확인필요",IF(ABS(M116-O116)/O116&lt;=0.3,"정상","Rule초과")))</x:f>
      </x:c>
      <x:c r="R116" s="75" t="str">
        <x:f>IF($C116="","",M116)</x:f>
      </x:c>
      <x:c r="S116" s="75" t="str">
        <x:f>IF($C116="","",R116*SUMIFS('Master_Rules'!$J$4:$J$200,'Master_Rules'!$D$4:$D$200,C116))</x:f>
      </x:c>
      <x:c r="T116" s="72" t="str">
        <x:f>IF($C116="","",IF(OR(P116="Rule초과",Q116="Rule초과"),"Flex 확인",IF(R116&gt;J116,"MOQ 조정","정상")))</x:f>
      </x:c>
    </x:row>
    <x:row r="117">
      <x:c r="A117" s="71"/>
      <x:c r="B117" s="71"/>
      <x:c r="C117" s="72"/>
      <x:c r="D117" s="72"/>
      <x:c r="E117" s="72"/>
      <x:c r="F117" s="75" t="str">
        <x:f>IF($C117="","",SUMIFS('Input_OL'!$K$4:$K$200,'Input_OL'!$C$4:$C$200,C117,'Input_OL'!$F$4:$F$200,B117))</x:f>
      </x:c>
      <x:c r="G117" s="75" t="str">
        <x:f>IF($C117="","",SUMIFS('Input_Inventory'!$G$4:$G$200,'Input_Inventory'!$C$4:$C$200,C117))</x:f>
      </x:c>
      <x:c r="H117" s="75" t="str">
        <x:f>IF($C117="","",SUMIFS('Input_Inventory'!$L$4:$L$200,'Input_Inventory'!$C$4:$C$200,C117,'Input_Inventory'!$F$4:$F$200,B117))</x:f>
      </x:c>
      <x:c r="I117" s="75" t="str">
        <x:f>IF($C117="","",G117+H117)</x:f>
      </x:c>
      <x:c r="J117" s="75" t="str">
        <x:f>IF($C117="","",MAX(0,F117-I117))</x:f>
      </x:c>
      <x:c r="K117" s="75" t="str">
        <x:f>IF($C117="","",SUMIFS('Master_Rules'!$G$4:$G$200,'Master_Rules'!$D$4:$D$200,C117))</x:f>
      </x:c>
      <x:c r="L117" s="75" t="str">
        <x:f>IF($C117="","",SUMIFS('Master_Rules'!$H$4:$H$200,'Master_Rules'!$D$4:$D$200,C117))</x:f>
      </x:c>
      <x:c r="M117" s="75" t="str">
        <x:f>IF($C117="","",IF(K117=0,J117,MAX(K117,CEILING(J117,L117))))</x:f>
      </x:c>
      <x:c r="N117" s="75" t="str">
        <x:f>IF($C117="","",SUMIFS('Input_OL'!$G$4:$G$200,'Input_OL'!$C$4:$C$200,C117,'Input_OL'!$F$4:$F$200,B117))</x:f>
      </x:c>
      <x:c r="O117" s="75" t="str">
        <x:f>IF($C117="","",SUMIFS('Input_OL'!$G$4:$G$200,'Input_OL'!$C$4:$C$200,C117,'Input_OL'!$F$4:$F$200,B117))</x:f>
      </x:c>
      <x:c r="P117" s="75" t="str">
        <x:f>IF($C117="","",IF(N117=0,"확인필요",IF(ABS(M117-N117)/N117&lt;=0.2,"정상","Rule초과")))</x:f>
      </x:c>
      <x:c r="Q117" s="75" t="str">
        <x:f>IF($C117="","",IF(O117=0,"확인필요",IF(ABS(M117-O117)/O117&lt;=0.3,"정상","Rule초과")))</x:f>
      </x:c>
      <x:c r="R117" s="75" t="str">
        <x:f>IF($C117="","",M117)</x:f>
      </x:c>
      <x:c r="S117" s="75" t="str">
        <x:f>IF($C117="","",R117*SUMIFS('Master_Rules'!$J$4:$J$200,'Master_Rules'!$D$4:$D$200,C117))</x:f>
      </x:c>
      <x:c r="T117" s="72" t="str">
        <x:f>IF($C117="","",IF(OR(P117="Rule초과",Q117="Rule초과"),"Flex 확인",IF(R117&gt;J117,"MOQ 조정","정상")))</x:f>
      </x:c>
    </x:row>
    <x:row r="118">
      <x:c r="A118" s="71"/>
      <x:c r="B118" s="71"/>
      <x:c r="C118" s="72"/>
      <x:c r="D118" s="72"/>
      <x:c r="E118" s="72"/>
      <x:c r="F118" s="75" t="str">
        <x:f>IF($C118="","",SUMIFS('Input_OL'!$K$4:$K$200,'Input_OL'!$C$4:$C$200,C118,'Input_OL'!$F$4:$F$200,B118))</x:f>
      </x:c>
      <x:c r="G118" s="75" t="str">
        <x:f>IF($C118="","",SUMIFS('Input_Inventory'!$G$4:$G$200,'Input_Inventory'!$C$4:$C$200,C118))</x:f>
      </x:c>
      <x:c r="H118" s="75" t="str">
        <x:f>IF($C118="","",SUMIFS('Input_Inventory'!$L$4:$L$200,'Input_Inventory'!$C$4:$C$200,C118,'Input_Inventory'!$F$4:$F$200,B118))</x:f>
      </x:c>
      <x:c r="I118" s="75" t="str">
        <x:f>IF($C118="","",G118+H118)</x:f>
      </x:c>
      <x:c r="J118" s="75" t="str">
        <x:f>IF($C118="","",MAX(0,F118-I118))</x:f>
      </x:c>
      <x:c r="K118" s="75" t="str">
        <x:f>IF($C118="","",SUMIFS('Master_Rules'!$G$4:$G$200,'Master_Rules'!$D$4:$D$200,C118))</x:f>
      </x:c>
      <x:c r="L118" s="75" t="str">
        <x:f>IF($C118="","",SUMIFS('Master_Rules'!$H$4:$H$200,'Master_Rules'!$D$4:$D$200,C118))</x:f>
      </x:c>
      <x:c r="M118" s="75" t="str">
        <x:f>IF($C118="","",IF(K118=0,J118,MAX(K118,CEILING(J118,L118))))</x:f>
      </x:c>
      <x:c r="N118" s="75" t="str">
        <x:f>IF($C118="","",SUMIFS('Input_OL'!$G$4:$G$200,'Input_OL'!$C$4:$C$200,C118,'Input_OL'!$F$4:$F$200,B118))</x:f>
      </x:c>
      <x:c r="O118" s="75" t="str">
        <x:f>IF($C118="","",SUMIFS('Input_OL'!$G$4:$G$200,'Input_OL'!$C$4:$C$200,C118,'Input_OL'!$F$4:$F$200,B118))</x:f>
      </x:c>
      <x:c r="P118" s="75" t="str">
        <x:f>IF($C118="","",IF(N118=0,"확인필요",IF(ABS(M118-N118)/N118&lt;=0.2,"정상","Rule초과")))</x:f>
      </x:c>
      <x:c r="Q118" s="75" t="str">
        <x:f>IF($C118="","",IF(O118=0,"확인필요",IF(ABS(M118-O118)/O118&lt;=0.3,"정상","Rule초과")))</x:f>
      </x:c>
      <x:c r="R118" s="75" t="str">
        <x:f>IF($C118="","",M118)</x:f>
      </x:c>
      <x:c r="S118" s="75" t="str">
        <x:f>IF($C118="","",R118*SUMIFS('Master_Rules'!$J$4:$J$200,'Master_Rules'!$D$4:$D$200,C118))</x:f>
      </x:c>
      <x:c r="T118" s="72" t="str">
        <x:f>IF($C118="","",IF(OR(P118="Rule초과",Q118="Rule초과"),"Flex 확인",IF(R118&gt;J118,"MOQ 조정","정상")))</x:f>
      </x:c>
    </x:row>
    <x:row r="119">
      <x:c r="A119" s="71"/>
      <x:c r="B119" s="71"/>
      <x:c r="C119" s="72"/>
      <x:c r="D119" s="72"/>
      <x:c r="E119" s="72"/>
      <x:c r="F119" s="75" t="str">
        <x:f>IF($C119="","",SUMIFS('Input_OL'!$K$4:$K$200,'Input_OL'!$C$4:$C$200,C119,'Input_OL'!$F$4:$F$200,B119))</x:f>
      </x:c>
      <x:c r="G119" s="75" t="str">
        <x:f>IF($C119="","",SUMIFS('Input_Inventory'!$G$4:$G$200,'Input_Inventory'!$C$4:$C$200,C119))</x:f>
      </x:c>
      <x:c r="H119" s="75" t="str">
        <x:f>IF($C119="","",SUMIFS('Input_Inventory'!$L$4:$L$200,'Input_Inventory'!$C$4:$C$200,C119,'Input_Inventory'!$F$4:$F$200,B119))</x:f>
      </x:c>
      <x:c r="I119" s="75" t="str">
        <x:f>IF($C119="","",G119+H119)</x:f>
      </x:c>
      <x:c r="J119" s="75" t="str">
        <x:f>IF($C119="","",MAX(0,F119-I119))</x:f>
      </x:c>
      <x:c r="K119" s="75" t="str">
        <x:f>IF($C119="","",SUMIFS('Master_Rules'!$G$4:$G$200,'Master_Rules'!$D$4:$D$200,C119))</x:f>
      </x:c>
      <x:c r="L119" s="75" t="str">
        <x:f>IF($C119="","",SUMIFS('Master_Rules'!$H$4:$H$200,'Master_Rules'!$D$4:$D$200,C119))</x:f>
      </x:c>
      <x:c r="M119" s="75" t="str">
        <x:f>IF($C119="","",IF(K119=0,J119,MAX(K119,CEILING(J119,L119))))</x:f>
      </x:c>
      <x:c r="N119" s="75" t="str">
        <x:f>IF($C119="","",SUMIFS('Input_OL'!$G$4:$G$200,'Input_OL'!$C$4:$C$200,C119,'Input_OL'!$F$4:$F$200,B119))</x:f>
      </x:c>
      <x:c r="O119" s="75" t="str">
        <x:f>IF($C119="","",SUMIFS('Input_OL'!$G$4:$G$200,'Input_OL'!$C$4:$C$200,C119,'Input_OL'!$F$4:$F$200,B119))</x:f>
      </x:c>
      <x:c r="P119" s="75" t="str">
        <x:f>IF($C119="","",IF(N119=0,"확인필요",IF(ABS(M119-N119)/N119&lt;=0.2,"정상","Rule초과")))</x:f>
      </x:c>
      <x:c r="Q119" s="75" t="str">
        <x:f>IF($C119="","",IF(O119=0,"확인필요",IF(ABS(M119-O119)/O119&lt;=0.3,"정상","Rule초과")))</x:f>
      </x:c>
      <x:c r="R119" s="75" t="str">
        <x:f>IF($C119="","",M119)</x:f>
      </x:c>
      <x:c r="S119" s="75" t="str">
        <x:f>IF($C119="","",R119*SUMIFS('Master_Rules'!$J$4:$J$200,'Master_Rules'!$D$4:$D$200,C119))</x:f>
      </x:c>
      <x:c r="T119" s="72" t="str">
        <x:f>IF($C119="","",IF(OR(P119="Rule초과",Q119="Rule초과"),"Flex 확인",IF(R119&gt;J119,"MOQ 조정","정상")))</x:f>
      </x:c>
    </x:row>
    <x:row r="120">
      <x:c r="A120" s="71"/>
      <x:c r="B120" s="71"/>
      <x:c r="C120" s="72"/>
      <x:c r="D120" s="72"/>
      <x:c r="E120" s="72"/>
      <x:c r="F120" s="75" t="str">
        <x:f>IF($C120="","",SUMIFS('Input_OL'!$K$4:$K$200,'Input_OL'!$C$4:$C$200,C120,'Input_OL'!$F$4:$F$200,B120))</x:f>
      </x:c>
      <x:c r="G120" s="75" t="str">
        <x:f>IF($C120="","",SUMIFS('Input_Inventory'!$G$4:$G$200,'Input_Inventory'!$C$4:$C$200,C120))</x:f>
      </x:c>
      <x:c r="H120" s="75" t="str">
        <x:f>IF($C120="","",SUMIFS('Input_Inventory'!$L$4:$L$200,'Input_Inventory'!$C$4:$C$200,C120,'Input_Inventory'!$F$4:$F$200,B120))</x:f>
      </x:c>
      <x:c r="I120" s="75" t="str">
        <x:f>IF($C120="","",G120+H120)</x:f>
      </x:c>
      <x:c r="J120" s="75" t="str">
        <x:f>IF($C120="","",MAX(0,F120-I120))</x:f>
      </x:c>
      <x:c r="K120" s="75" t="str">
        <x:f>IF($C120="","",SUMIFS('Master_Rules'!$G$4:$G$200,'Master_Rules'!$D$4:$D$200,C120))</x:f>
      </x:c>
      <x:c r="L120" s="75" t="str">
        <x:f>IF($C120="","",SUMIFS('Master_Rules'!$H$4:$H$200,'Master_Rules'!$D$4:$D$200,C120))</x:f>
      </x:c>
      <x:c r="M120" s="75" t="str">
        <x:f>IF($C120="","",IF(K120=0,J120,MAX(K120,CEILING(J120,L120))))</x:f>
      </x:c>
      <x:c r="N120" s="75" t="str">
        <x:f>IF($C120="","",SUMIFS('Input_OL'!$G$4:$G$200,'Input_OL'!$C$4:$C$200,C120,'Input_OL'!$F$4:$F$200,B120))</x:f>
      </x:c>
      <x:c r="O120" s="75" t="str">
        <x:f>IF($C120="","",SUMIFS('Input_OL'!$G$4:$G$200,'Input_OL'!$C$4:$C$200,C120,'Input_OL'!$F$4:$F$200,B120))</x:f>
      </x:c>
      <x:c r="P120" s="75" t="str">
        <x:f>IF($C120="","",IF(N120=0,"확인필요",IF(ABS(M120-N120)/N120&lt;=0.2,"정상","Rule초과")))</x:f>
      </x:c>
      <x:c r="Q120" s="75" t="str">
        <x:f>IF($C120="","",IF(O120=0,"확인필요",IF(ABS(M120-O120)/O120&lt;=0.3,"정상","Rule초과")))</x:f>
      </x:c>
      <x:c r="R120" s="75" t="str">
        <x:f>IF($C120="","",M120)</x:f>
      </x:c>
      <x:c r="S120" s="75" t="str">
        <x:f>IF($C120="","",R120*SUMIFS('Master_Rules'!$J$4:$J$200,'Master_Rules'!$D$4:$D$200,C120))</x:f>
      </x:c>
      <x:c r="T120" s="72" t="str">
        <x:f>IF($C120="","",IF(OR(P120="Rule초과",Q120="Rule초과"),"Flex 확인",IF(R120&gt;J120,"MOQ 조정","정상")))</x:f>
      </x:c>
    </x:row>
    <x:row r="121">
      <x:c r="A121" s="71"/>
      <x:c r="B121" s="71"/>
      <x:c r="C121" s="72"/>
      <x:c r="D121" s="72"/>
      <x:c r="E121" s="72"/>
      <x:c r="F121" s="75" t="str">
        <x:f>IF($C121="","",SUMIFS('Input_OL'!$K$4:$K$200,'Input_OL'!$C$4:$C$200,C121,'Input_OL'!$F$4:$F$200,B121))</x:f>
      </x:c>
      <x:c r="G121" s="75" t="str">
        <x:f>IF($C121="","",SUMIFS('Input_Inventory'!$G$4:$G$200,'Input_Inventory'!$C$4:$C$200,C121))</x:f>
      </x:c>
      <x:c r="H121" s="75" t="str">
        <x:f>IF($C121="","",SUMIFS('Input_Inventory'!$L$4:$L$200,'Input_Inventory'!$C$4:$C$200,C121,'Input_Inventory'!$F$4:$F$200,B121))</x:f>
      </x:c>
      <x:c r="I121" s="75" t="str">
        <x:f>IF($C121="","",G121+H121)</x:f>
      </x:c>
      <x:c r="J121" s="75" t="str">
        <x:f>IF($C121="","",MAX(0,F121-I121))</x:f>
      </x:c>
      <x:c r="K121" s="75" t="str">
        <x:f>IF($C121="","",SUMIFS('Master_Rules'!$G$4:$G$200,'Master_Rules'!$D$4:$D$200,C121))</x:f>
      </x:c>
      <x:c r="L121" s="75" t="str">
        <x:f>IF($C121="","",SUMIFS('Master_Rules'!$H$4:$H$200,'Master_Rules'!$D$4:$D$200,C121))</x:f>
      </x:c>
      <x:c r="M121" s="75" t="str">
        <x:f>IF($C121="","",IF(K121=0,J121,MAX(K121,CEILING(J121,L121))))</x:f>
      </x:c>
      <x:c r="N121" s="75" t="str">
        <x:f>IF($C121="","",SUMIFS('Input_OL'!$G$4:$G$200,'Input_OL'!$C$4:$C$200,C121,'Input_OL'!$F$4:$F$200,B121))</x:f>
      </x:c>
      <x:c r="O121" s="75" t="str">
        <x:f>IF($C121="","",SUMIFS('Input_OL'!$G$4:$G$200,'Input_OL'!$C$4:$C$200,C121,'Input_OL'!$F$4:$F$200,B121))</x:f>
      </x:c>
      <x:c r="P121" s="75" t="str">
        <x:f>IF($C121="","",IF(N121=0,"확인필요",IF(ABS(M121-N121)/N121&lt;=0.2,"정상","Rule초과")))</x:f>
      </x:c>
      <x:c r="Q121" s="75" t="str">
        <x:f>IF($C121="","",IF(O121=0,"확인필요",IF(ABS(M121-O121)/O121&lt;=0.3,"정상","Rule초과")))</x:f>
      </x:c>
      <x:c r="R121" s="75" t="str">
        <x:f>IF($C121="","",M121)</x:f>
      </x:c>
      <x:c r="S121" s="75" t="str">
        <x:f>IF($C121="","",R121*SUMIFS('Master_Rules'!$J$4:$J$200,'Master_Rules'!$D$4:$D$200,C121))</x:f>
      </x:c>
      <x:c r="T121" s="72" t="str">
        <x:f>IF($C121="","",IF(OR(P121="Rule초과",Q121="Rule초과"),"Flex 확인",IF(R121&gt;J121,"MOQ 조정","정상")))</x:f>
      </x:c>
    </x:row>
    <x:row r="122">
      <x:c r="A122" s="71"/>
      <x:c r="B122" s="71"/>
      <x:c r="C122" s="72"/>
      <x:c r="D122" s="72"/>
      <x:c r="E122" s="72"/>
      <x:c r="F122" s="75" t="str">
        <x:f>IF($C122="","",SUMIFS('Input_OL'!$K$4:$K$200,'Input_OL'!$C$4:$C$200,C122,'Input_OL'!$F$4:$F$200,B122))</x:f>
      </x:c>
      <x:c r="G122" s="75" t="str">
        <x:f>IF($C122="","",SUMIFS('Input_Inventory'!$G$4:$G$200,'Input_Inventory'!$C$4:$C$200,C122))</x:f>
      </x:c>
      <x:c r="H122" s="75" t="str">
        <x:f>IF($C122="","",SUMIFS('Input_Inventory'!$L$4:$L$200,'Input_Inventory'!$C$4:$C$200,C122,'Input_Inventory'!$F$4:$F$200,B122))</x:f>
      </x:c>
      <x:c r="I122" s="75" t="str">
        <x:f>IF($C122="","",G122+H122)</x:f>
      </x:c>
      <x:c r="J122" s="75" t="str">
        <x:f>IF($C122="","",MAX(0,F122-I122))</x:f>
      </x:c>
      <x:c r="K122" s="75" t="str">
        <x:f>IF($C122="","",SUMIFS('Master_Rules'!$G$4:$G$200,'Master_Rules'!$D$4:$D$200,C122))</x:f>
      </x:c>
      <x:c r="L122" s="75" t="str">
        <x:f>IF($C122="","",SUMIFS('Master_Rules'!$H$4:$H$200,'Master_Rules'!$D$4:$D$200,C122))</x:f>
      </x:c>
      <x:c r="M122" s="75" t="str">
        <x:f>IF($C122="","",IF(K122=0,J122,MAX(K122,CEILING(J122,L122))))</x:f>
      </x:c>
      <x:c r="N122" s="75" t="str">
        <x:f>IF($C122="","",SUMIFS('Input_OL'!$G$4:$G$200,'Input_OL'!$C$4:$C$200,C122,'Input_OL'!$F$4:$F$200,B122))</x:f>
      </x:c>
      <x:c r="O122" s="75" t="str">
        <x:f>IF($C122="","",SUMIFS('Input_OL'!$G$4:$G$200,'Input_OL'!$C$4:$C$200,C122,'Input_OL'!$F$4:$F$200,B122))</x:f>
      </x:c>
      <x:c r="P122" s="75" t="str">
        <x:f>IF($C122="","",IF(N122=0,"확인필요",IF(ABS(M122-N122)/N122&lt;=0.2,"정상","Rule초과")))</x:f>
      </x:c>
      <x:c r="Q122" s="75" t="str">
        <x:f>IF($C122="","",IF(O122=0,"확인필요",IF(ABS(M122-O122)/O122&lt;=0.3,"정상","Rule초과")))</x:f>
      </x:c>
      <x:c r="R122" s="75" t="str">
        <x:f>IF($C122="","",M122)</x:f>
      </x:c>
      <x:c r="S122" s="75" t="str">
        <x:f>IF($C122="","",R122*SUMIFS('Master_Rules'!$J$4:$J$200,'Master_Rules'!$D$4:$D$200,C122))</x:f>
      </x:c>
      <x:c r="T122" s="72" t="str">
        <x:f>IF($C122="","",IF(OR(P122="Rule초과",Q122="Rule초과"),"Flex 확인",IF(R122&gt;J122,"MOQ 조정","정상")))</x:f>
      </x:c>
    </x:row>
    <x:row r="123">
      <x:c r="A123" s="71"/>
      <x:c r="B123" s="71"/>
      <x:c r="C123" s="72"/>
      <x:c r="D123" s="72"/>
      <x:c r="E123" s="72"/>
      <x:c r="F123" s="75" t="str">
        <x:f>IF($C123="","",SUMIFS('Input_OL'!$K$4:$K$200,'Input_OL'!$C$4:$C$200,C123,'Input_OL'!$F$4:$F$200,B123))</x:f>
      </x:c>
      <x:c r="G123" s="75" t="str">
        <x:f>IF($C123="","",SUMIFS('Input_Inventory'!$G$4:$G$200,'Input_Inventory'!$C$4:$C$200,C123))</x:f>
      </x:c>
      <x:c r="H123" s="75" t="str">
        <x:f>IF($C123="","",SUMIFS('Input_Inventory'!$L$4:$L$200,'Input_Inventory'!$C$4:$C$200,C123,'Input_Inventory'!$F$4:$F$200,B123))</x:f>
      </x:c>
      <x:c r="I123" s="75" t="str">
        <x:f>IF($C123="","",G123+H123)</x:f>
      </x:c>
      <x:c r="J123" s="75" t="str">
        <x:f>IF($C123="","",MAX(0,F123-I123))</x:f>
      </x:c>
      <x:c r="K123" s="75" t="str">
        <x:f>IF($C123="","",SUMIFS('Master_Rules'!$G$4:$G$200,'Master_Rules'!$D$4:$D$200,C123))</x:f>
      </x:c>
      <x:c r="L123" s="75" t="str">
        <x:f>IF($C123="","",SUMIFS('Master_Rules'!$H$4:$H$200,'Master_Rules'!$D$4:$D$200,C123))</x:f>
      </x:c>
      <x:c r="M123" s="75" t="str">
        <x:f>IF($C123="","",IF(K123=0,J123,MAX(K123,CEILING(J123,L123))))</x:f>
      </x:c>
      <x:c r="N123" s="75" t="str">
        <x:f>IF($C123="","",SUMIFS('Input_OL'!$G$4:$G$200,'Input_OL'!$C$4:$C$200,C123,'Input_OL'!$F$4:$F$200,B123))</x:f>
      </x:c>
      <x:c r="O123" s="75" t="str">
        <x:f>IF($C123="","",SUMIFS('Input_OL'!$G$4:$G$200,'Input_OL'!$C$4:$C$200,C123,'Input_OL'!$F$4:$F$200,B123))</x:f>
      </x:c>
      <x:c r="P123" s="75" t="str">
        <x:f>IF($C123="","",IF(N123=0,"확인필요",IF(ABS(M123-N123)/N123&lt;=0.2,"정상","Rule초과")))</x:f>
      </x:c>
      <x:c r="Q123" s="75" t="str">
        <x:f>IF($C123="","",IF(O123=0,"확인필요",IF(ABS(M123-O123)/O123&lt;=0.3,"정상","Rule초과")))</x:f>
      </x:c>
      <x:c r="R123" s="75" t="str">
        <x:f>IF($C123="","",M123)</x:f>
      </x:c>
      <x:c r="S123" s="75" t="str">
        <x:f>IF($C123="","",R123*SUMIFS('Master_Rules'!$J$4:$J$200,'Master_Rules'!$D$4:$D$200,C123))</x:f>
      </x:c>
      <x:c r="T123" s="72" t="str">
        <x:f>IF($C123="","",IF(OR(P123="Rule초과",Q123="Rule초과"),"Flex 확인",IF(R123&gt;J123,"MOQ 조정","정상")))</x:f>
      </x:c>
    </x:row>
    <x:row r="124">
      <x:c r="A124" s="71"/>
      <x:c r="B124" s="71"/>
      <x:c r="C124" s="72"/>
      <x:c r="D124" s="72"/>
      <x:c r="E124" s="72"/>
      <x:c r="F124" s="75" t="str">
        <x:f>IF($C124="","",SUMIFS('Input_OL'!$K$4:$K$200,'Input_OL'!$C$4:$C$200,C124,'Input_OL'!$F$4:$F$200,B124))</x:f>
      </x:c>
      <x:c r="G124" s="75" t="str">
        <x:f>IF($C124="","",SUMIFS('Input_Inventory'!$G$4:$G$200,'Input_Inventory'!$C$4:$C$200,C124))</x:f>
      </x:c>
      <x:c r="H124" s="75" t="str">
        <x:f>IF($C124="","",SUMIFS('Input_Inventory'!$L$4:$L$200,'Input_Inventory'!$C$4:$C$200,C124,'Input_Inventory'!$F$4:$F$200,B124))</x:f>
      </x:c>
      <x:c r="I124" s="75" t="str">
        <x:f>IF($C124="","",G124+H124)</x:f>
      </x:c>
      <x:c r="J124" s="75" t="str">
        <x:f>IF($C124="","",MAX(0,F124-I124))</x:f>
      </x:c>
      <x:c r="K124" s="75" t="str">
        <x:f>IF($C124="","",SUMIFS('Master_Rules'!$G$4:$G$200,'Master_Rules'!$D$4:$D$200,C124))</x:f>
      </x:c>
      <x:c r="L124" s="75" t="str">
        <x:f>IF($C124="","",SUMIFS('Master_Rules'!$H$4:$H$200,'Master_Rules'!$D$4:$D$200,C124))</x:f>
      </x:c>
      <x:c r="M124" s="75" t="str">
        <x:f>IF($C124="","",IF(K124=0,J124,MAX(K124,CEILING(J124,L124))))</x:f>
      </x:c>
      <x:c r="N124" s="75" t="str">
        <x:f>IF($C124="","",SUMIFS('Input_OL'!$G$4:$G$200,'Input_OL'!$C$4:$C$200,C124,'Input_OL'!$F$4:$F$200,B124))</x:f>
      </x:c>
      <x:c r="O124" s="75" t="str">
        <x:f>IF($C124="","",SUMIFS('Input_OL'!$G$4:$G$200,'Input_OL'!$C$4:$C$200,C124,'Input_OL'!$F$4:$F$200,B124))</x:f>
      </x:c>
      <x:c r="P124" s="75" t="str">
        <x:f>IF($C124="","",IF(N124=0,"확인필요",IF(ABS(M124-N124)/N124&lt;=0.2,"정상","Rule초과")))</x:f>
      </x:c>
      <x:c r="Q124" s="75" t="str">
        <x:f>IF($C124="","",IF(O124=0,"확인필요",IF(ABS(M124-O124)/O124&lt;=0.3,"정상","Rule초과")))</x:f>
      </x:c>
      <x:c r="R124" s="75" t="str">
        <x:f>IF($C124="","",M124)</x:f>
      </x:c>
      <x:c r="S124" s="75" t="str">
        <x:f>IF($C124="","",R124*SUMIFS('Master_Rules'!$J$4:$J$200,'Master_Rules'!$D$4:$D$200,C124))</x:f>
      </x:c>
      <x:c r="T124" s="72" t="str">
        <x:f>IF($C124="","",IF(OR(P124="Rule초과",Q124="Rule초과"),"Flex 확인",IF(R124&gt;J124,"MOQ 조정","정상")))</x:f>
      </x:c>
    </x:row>
    <x:row r="125">
      <x:c r="A125" s="71"/>
      <x:c r="B125" s="71"/>
      <x:c r="C125" s="72"/>
      <x:c r="D125" s="72"/>
      <x:c r="E125" s="72"/>
      <x:c r="F125" s="75" t="str">
        <x:f>IF($C125="","",SUMIFS('Input_OL'!$K$4:$K$200,'Input_OL'!$C$4:$C$200,C125,'Input_OL'!$F$4:$F$200,B125))</x:f>
      </x:c>
      <x:c r="G125" s="75" t="str">
        <x:f>IF($C125="","",SUMIFS('Input_Inventory'!$G$4:$G$200,'Input_Inventory'!$C$4:$C$200,C125))</x:f>
      </x:c>
      <x:c r="H125" s="75" t="str">
        <x:f>IF($C125="","",SUMIFS('Input_Inventory'!$L$4:$L$200,'Input_Inventory'!$C$4:$C$200,C125,'Input_Inventory'!$F$4:$F$200,B125))</x:f>
      </x:c>
      <x:c r="I125" s="75" t="str">
        <x:f>IF($C125="","",G125+H125)</x:f>
      </x:c>
      <x:c r="J125" s="75" t="str">
        <x:f>IF($C125="","",MAX(0,F125-I125))</x:f>
      </x:c>
      <x:c r="K125" s="75" t="str">
        <x:f>IF($C125="","",SUMIFS('Master_Rules'!$G$4:$G$200,'Master_Rules'!$D$4:$D$200,C125))</x:f>
      </x:c>
      <x:c r="L125" s="75" t="str">
        <x:f>IF($C125="","",SUMIFS('Master_Rules'!$H$4:$H$200,'Master_Rules'!$D$4:$D$200,C125))</x:f>
      </x:c>
      <x:c r="M125" s="75" t="str">
        <x:f>IF($C125="","",IF(K125=0,J125,MAX(K125,CEILING(J125,L125))))</x:f>
      </x:c>
      <x:c r="N125" s="75" t="str">
        <x:f>IF($C125="","",SUMIFS('Input_OL'!$G$4:$G$200,'Input_OL'!$C$4:$C$200,C125,'Input_OL'!$F$4:$F$200,B125))</x:f>
      </x:c>
      <x:c r="O125" s="75" t="str">
        <x:f>IF($C125="","",SUMIFS('Input_OL'!$G$4:$G$200,'Input_OL'!$C$4:$C$200,C125,'Input_OL'!$F$4:$F$200,B125))</x:f>
      </x:c>
      <x:c r="P125" s="75" t="str">
        <x:f>IF($C125="","",IF(N125=0,"확인필요",IF(ABS(M125-N125)/N125&lt;=0.2,"정상","Rule초과")))</x:f>
      </x:c>
      <x:c r="Q125" s="75" t="str">
        <x:f>IF($C125="","",IF(O125=0,"확인필요",IF(ABS(M125-O125)/O125&lt;=0.3,"정상","Rule초과")))</x:f>
      </x:c>
      <x:c r="R125" s="75" t="str">
        <x:f>IF($C125="","",M125)</x:f>
      </x:c>
      <x:c r="S125" s="75" t="str">
        <x:f>IF($C125="","",R125*SUMIFS('Master_Rules'!$J$4:$J$200,'Master_Rules'!$D$4:$D$200,C125))</x:f>
      </x:c>
      <x:c r="T125" s="72" t="str">
        <x:f>IF($C125="","",IF(OR(P125="Rule초과",Q125="Rule초과"),"Flex 확인",IF(R125&gt;J125,"MOQ 조정","정상")))</x:f>
      </x:c>
    </x:row>
    <x:row r="126">
      <x:c r="A126" s="71"/>
      <x:c r="B126" s="71"/>
      <x:c r="C126" s="72"/>
      <x:c r="D126" s="72"/>
      <x:c r="E126" s="72"/>
      <x:c r="F126" s="75" t="str">
        <x:f>IF($C126="","",SUMIFS('Input_OL'!$K$4:$K$200,'Input_OL'!$C$4:$C$200,C126,'Input_OL'!$F$4:$F$200,B126))</x:f>
      </x:c>
      <x:c r="G126" s="75" t="str">
        <x:f>IF($C126="","",SUMIFS('Input_Inventory'!$G$4:$G$200,'Input_Inventory'!$C$4:$C$200,C126))</x:f>
      </x:c>
      <x:c r="H126" s="75" t="str">
        <x:f>IF($C126="","",SUMIFS('Input_Inventory'!$L$4:$L$200,'Input_Inventory'!$C$4:$C$200,C126,'Input_Inventory'!$F$4:$F$200,B126))</x:f>
      </x:c>
      <x:c r="I126" s="75" t="str">
        <x:f>IF($C126="","",G126+H126)</x:f>
      </x:c>
      <x:c r="J126" s="75" t="str">
        <x:f>IF($C126="","",MAX(0,F126-I126))</x:f>
      </x:c>
      <x:c r="K126" s="75" t="str">
        <x:f>IF($C126="","",SUMIFS('Master_Rules'!$G$4:$G$200,'Master_Rules'!$D$4:$D$200,C126))</x:f>
      </x:c>
      <x:c r="L126" s="75" t="str">
        <x:f>IF($C126="","",SUMIFS('Master_Rules'!$H$4:$H$200,'Master_Rules'!$D$4:$D$200,C126))</x:f>
      </x:c>
      <x:c r="M126" s="75" t="str">
        <x:f>IF($C126="","",IF(K126=0,J126,MAX(K126,CEILING(J126,L126))))</x:f>
      </x:c>
      <x:c r="N126" s="75" t="str">
        <x:f>IF($C126="","",SUMIFS('Input_OL'!$G$4:$G$200,'Input_OL'!$C$4:$C$200,C126,'Input_OL'!$F$4:$F$200,B126))</x:f>
      </x:c>
      <x:c r="O126" s="75" t="str">
        <x:f>IF($C126="","",SUMIFS('Input_OL'!$G$4:$G$200,'Input_OL'!$C$4:$C$200,C126,'Input_OL'!$F$4:$F$200,B126))</x:f>
      </x:c>
      <x:c r="P126" s="75" t="str">
        <x:f>IF($C126="","",IF(N126=0,"확인필요",IF(ABS(M126-N126)/N126&lt;=0.2,"정상","Rule초과")))</x:f>
      </x:c>
      <x:c r="Q126" s="75" t="str">
        <x:f>IF($C126="","",IF(O126=0,"확인필요",IF(ABS(M126-O126)/O126&lt;=0.3,"정상","Rule초과")))</x:f>
      </x:c>
      <x:c r="R126" s="75" t="str">
        <x:f>IF($C126="","",M126)</x:f>
      </x:c>
      <x:c r="S126" s="75" t="str">
        <x:f>IF($C126="","",R126*SUMIFS('Master_Rules'!$J$4:$J$200,'Master_Rules'!$D$4:$D$200,C126))</x:f>
      </x:c>
      <x:c r="T126" s="72" t="str">
        <x:f>IF($C126="","",IF(OR(P126="Rule초과",Q126="Rule초과"),"Flex 확인",IF(R126&gt;J126,"MOQ 조정","정상")))</x:f>
      </x:c>
    </x:row>
    <x:row r="127">
      <x:c r="A127" s="71"/>
      <x:c r="B127" s="71"/>
      <x:c r="C127" s="72"/>
      <x:c r="D127" s="72"/>
      <x:c r="E127" s="72"/>
      <x:c r="F127" s="75" t="str">
        <x:f>IF($C127="","",SUMIFS('Input_OL'!$K$4:$K$200,'Input_OL'!$C$4:$C$200,C127,'Input_OL'!$F$4:$F$200,B127))</x:f>
      </x:c>
      <x:c r="G127" s="75" t="str">
        <x:f>IF($C127="","",SUMIFS('Input_Inventory'!$G$4:$G$200,'Input_Inventory'!$C$4:$C$200,C127))</x:f>
      </x:c>
      <x:c r="H127" s="75" t="str">
        <x:f>IF($C127="","",SUMIFS('Input_Inventory'!$L$4:$L$200,'Input_Inventory'!$C$4:$C$200,C127,'Input_Inventory'!$F$4:$F$200,B127))</x:f>
      </x:c>
      <x:c r="I127" s="75" t="str">
        <x:f>IF($C127="","",G127+H127)</x:f>
      </x:c>
      <x:c r="J127" s="75" t="str">
        <x:f>IF($C127="","",MAX(0,F127-I127))</x:f>
      </x:c>
      <x:c r="K127" s="75" t="str">
        <x:f>IF($C127="","",SUMIFS('Master_Rules'!$G$4:$G$200,'Master_Rules'!$D$4:$D$200,C127))</x:f>
      </x:c>
      <x:c r="L127" s="75" t="str">
        <x:f>IF($C127="","",SUMIFS('Master_Rules'!$H$4:$H$200,'Master_Rules'!$D$4:$D$200,C127))</x:f>
      </x:c>
      <x:c r="M127" s="75" t="str">
        <x:f>IF($C127="","",IF(K127=0,J127,MAX(K127,CEILING(J127,L127))))</x:f>
      </x:c>
      <x:c r="N127" s="75" t="str">
        <x:f>IF($C127="","",SUMIFS('Input_OL'!$G$4:$G$200,'Input_OL'!$C$4:$C$200,C127,'Input_OL'!$F$4:$F$200,B127))</x:f>
      </x:c>
      <x:c r="O127" s="75" t="str">
        <x:f>IF($C127="","",SUMIFS('Input_OL'!$G$4:$G$200,'Input_OL'!$C$4:$C$200,C127,'Input_OL'!$F$4:$F$200,B127))</x:f>
      </x:c>
      <x:c r="P127" s="75" t="str">
        <x:f>IF($C127="","",IF(N127=0,"확인필요",IF(ABS(M127-N127)/N127&lt;=0.2,"정상","Rule초과")))</x:f>
      </x:c>
      <x:c r="Q127" s="75" t="str">
        <x:f>IF($C127="","",IF(O127=0,"확인필요",IF(ABS(M127-O127)/O127&lt;=0.3,"정상","Rule초과")))</x:f>
      </x:c>
      <x:c r="R127" s="75" t="str">
        <x:f>IF($C127="","",M127)</x:f>
      </x:c>
      <x:c r="S127" s="75" t="str">
        <x:f>IF($C127="","",R127*SUMIFS('Master_Rules'!$J$4:$J$200,'Master_Rules'!$D$4:$D$200,C127))</x:f>
      </x:c>
      <x:c r="T127" s="72" t="str">
        <x:f>IF($C127="","",IF(OR(P127="Rule초과",Q127="Rule초과"),"Flex 확인",IF(R127&gt;J127,"MOQ 조정","정상")))</x:f>
      </x:c>
    </x:row>
    <x:row r="128">
      <x:c r="A128" s="71"/>
      <x:c r="B128" s="71"/>
      <x:c r="C128" s="72"/>
      <x:c r="D128" s="72"/>
      <x:c r="E128" s="72"/>
      <x:c r="F128" s="75" t="str">
        <x:f>IF($C128="","",SUMIFS('Input_OL'!$K$4:$K$200,'Input_OL'!$C$4:$C$200,C128,'Input_OL'!$F$4:$F$200,B128))</x:f>
      </x:c>
      <x:c r="G128" s="75" t="str">
        <x:f>IF($C128="","",SUMIFS('Input_Inventory'!$G$4:$G$200,'Input_Inventory'!$C$4:$C$200,C128))</x:f>
      </x:c>
      <x:c r="H128" s="75" t="str">
        <x:f>IF($C128="","",SUMIFS('Input_Inventory'!$L$4:$L$200,'Input_Inventory'!$C$4:$C$200,C128,'Input_Inventory'!$F$4:$F$200,B128))</x:f>
      </x:c>
      <x:c r="I128" s="75" t="str">
        <x:f>IF($C128="","",G128+H128)</x:f>
      </x:c>
      <x:c r="J128" s="75" t="str">
        <x:f>IF($C128="","",MAX(0,F128-I128))</x:f>
      </x:c>
      <x:c r="K128" s="75" t="str">
        <x:f>IF($C128="","",SUMIFS('Master_Rules'!$G$4:$G$200,'Master_Rules'!$D$4:$D$200,C128))</x:f>
      </x:c>
      <x:c r="L128" s="75" t="str">
        <x:f>IF($C128="","",SUMIFS('Master_Rules'!$H$4:$H$200,'Master_Rules'!$D$4:$D$200,C128))</x:f>
      </x:c>
      <x:c r="M128" s="75" t="str">
        <x:f>IF($C128="","",IF(K128=0,J128,MAX(K128,CEILING(J128,L128))))</x:f>
      </x:c>
      <x:c r="N128" s="75" t="str">
        <x:f>IF($C128="","",SUMIFS('Input_OL'!$G$4:$G$200,'Input_OL'!$C$4:$C$200,C128,'Input_OL'!$F$4:$F$200,B128))</x:f>
      </x:c>
      <x:c r="O128" s="75" t="str">
        <x:f>IF($C128="","",SUMIFS('Input_OL'!$G$4:$G$200,'Input_OL'!$C$4:$C$200,C128,'Input_OL'!$F$4:$F$200,B128))</x:f>
      </x:c>
      <x:c r="P128" s="75" t="str">
        <x:f>IF($C128="","",IF(N128=0,"확인필요",IF(ABS(M128-N128)/N128&lt;=0.2,"정상","Rule초과")))</x:f>
      </x:c>
      <x:c r="Q128" s="75" t="str">
        <x:f>IF($C128="","",IF(O128=0,"확인필요",IF(ABS(M128-O128)/O128&lt;=0.3,"정상","Rule초과")))</x:f>
      </x:c>
      <x:c r="R128" s="75" t="str">
        <x:f>IF($C128="","",M128)</x:f>
      </x:c>
      <x:c r="S128" s="75" t="str">
        <x:f>IF($C128="","",R128*SUMIFS('Master_Rules'!$J$4:$J$200,'Master_Rules'!$D$4:$D$200,C128))</x:f>
      </x:c>
      <x:c r="T128" s="72" t="str">
        <x:f>IF($C128="","",IF(OR(P128="Rule초과",Q128="Rule초과"),"Flex 확인",IF(R128&gt;J128,"MOQ 조정","정상")))</x:f>
      </x:c>
    </x:row>
    <x:row r="129">
      <x:c r="A129" s="71"/>
      <x:c r="B129" s="71"/>
      <x:c r="C129" s="72"/>
      <x:c r="D129" s="72"/>
      <x:c r="E129" s="72"/>
      <x:c r="F129" s="75" t="str">
        <x:f>IF($C129="","",SUMIFS('Input_OL'!$K$4:$K$200,'Input_OL'!$C$4:$C$200,C129,'Input_OL'!$F$4:$F$200,B129))</x:f>
      </x:c>
      <x:c r="G129" s="75" t="str">
        <x:f>IF($C129="","",SUMIFS('Input_Inventory'!$G$4:$G$200,'Input_Inventory'!$C$4:$C$200,C129))</x:f>
      </x:c>
      <x:c r="H129" s="75" t="str">
        <x:f>IF($C129="","",SUMIFS('Input_Inventory'!$L$4:$L$200,'Input_Inventory'!$C$4:$C$200,C129,'Input_Inventory'!$F$4:$F$200,B129))</x:f>
      </x:c>
      <x:c r="I129" s="75" t="str">
        <x:f>IF($C129="","",G129+H129)</x:f>
      </x:c>
      <x:c r="J129" s="75" t="str">
        <x:f>IF($C129="","",MAX(0,F129-I129))</x:f>
      </x:c>
      <x:c r="K129" s="75" t="str">
        <x:f>IF($C129="","",SUMIFS('Master_Rules'!$G$4:$G$200,'Master_Rules'!$D$4:$D$200,C129))</x:f>
      </x:c>
      <x:c r="L129" s="75" t="str">
        <x:f>IF($C129="","",SUMIFS('Master_Rules'!$H$4:$H$200,'Master_Rules'!$D$4:$D$200,C129))</x:f>
      </x:c>
      <x:c r="M129" s="75" t="str">
        <x:f>IF($C129="","",IF(K129=0,J129,MAX(K129,CEILING(J129,L129))))</x:f>
      </x:c>
      <x:c r="N129" s="75" t="str">
        <x:f>IF($C129="","",SUMIFS('Input_OL'!$G$4:$G$200,'Input_OL'!$C$4:$C$200,C129,'Input_OL'!$F$4:$F$200,B129))</x:f>
      </x:c>
      <x:c r="O129" s="75" t="str">
        <x:f>IF($C129="","",SUMIFS('Input_OL'!$G$4:$G$200,'Input_OL'!$C$4:$C$200,C129,'Input_OL'!$F$4:$F$200,B129))</x:f>
      </x:c>
      <x:c r="P129" s="75" t="str">
        <x:f>IF($C129="","",IF(N129=0,"확인필요",IF(ABS(M129-N129)/N129&lt;=0.2,"정상","Rule초과")))</x:f>
      </x:c>
      <x:c r="Q129" s="75" t="str">
        <x:f>IF($C129="","",IF(O129=0,"확인필요",IF(ABS(M129-O129)/O129&lt;=0.3,"정상","Rule초과")))</x:f>
      </x:c>
      <x:c r="R129" s="75" t="str">
        <x:f>IF($C129="","",M129)</x:f>
      </x:c>
      <x:c r="S129" s="75" t="str">
        <x:f>IF($C129="","",R129*SUMIFS('Master_Rules'!$J$4:$J$200,'Master_Rules'!$D$4:$D$200,C129))</x:f>
      </x:c>
      <x:c r="T129" s="72" t="str">
        <x:f>IF($C129="","",IF(OR(P129="Rule초과",Q129="Rule초과"),"Flex 확인",IF(R129&gt;J129,"MOQ 조정","정상")))</x:f>
      </x:c>
    </x:row>
    <x:row r="130">
      <x:c r="A130" s="71"/>
      <x:c r="B130" s="71"/>
      <x:c r="C130" s="72"/>
      <x:c r="D130" s="72"/>
      <x:c r="E130" s="72"/>
      <x:c r="F130" s="75" t="str">
        <x:f>IF($C130="","",SUMIFS('Input_OL'!$K$4:$K$200,'Input_OL'!$C$4:$C$200,C130,'Input_OL'!$F$4:$F$200,B130))</x:f>
      </x:c>
      <x:c r="G130" s="75" t="str">
        <x:f>IF($C130="","",SUMIFS('Input_Inventory'!$G$4:$G$200,'Input_Inventory'!$C$4:$C$200,C130))</x:f>
      </x:c>
      <x:c r="H130" s="75" t="str">
        <x:f>IF($C130="","",SUMIFS('Input_Inventory'!$L$4:$L$200,'Input_Inventory'!$C$4:$C$200,C130,'Input_Inventory'!$F$4:$F$200,B130))</x:f>
      </x:c>
      <x:c r="I130" s="75" t="str">
        <x:f>IF($C130="","",G130+H130)</x:f>
      </x:c>
      <x:c r="J130" s="75" t="str">
        <x:f>IF($C130="","",MAX(0,F130-I130))</x:f>
      </x:c>
      <x:c r="K130" s="75" t="str">
        <x:f>IF($C130="","",SUMIFS('Master_Rules'!$G$4:$G$200,'Master_Rules'!$D$4:$D$200,C130))</x:f>
      </x:c>
      <x:c r="L130" s="75" t="str">
        <x:f>IF($C130="","",SUMIFS('Master_Rules'!$H$4:$H$200,'Master_Rules'!$D$4:$D$200,C130))</x:f>
      </x:c>
      <x:c r="M130" s="75" t="str">
        <x:f>IF($C130="","",IF(K130=0,J130,MAX(K130,CEILING(J130,L130))))</x:f>
      </x:c>
      <x:c r="N130" s="75" t="str">
        <x:f>IF($C130="","",SUMIFS('Input_OL'!$G$4:$G$200,'Input_OL'!$C$4:$C$200,C130,'Input_OL'!$F$4:$F$200,B130))</x:f>
      </x:c>
      <x:c r="O130" s="75" t="str">
        <x:f>IF($C130="","",SUMIFS('Input_OL'!$G$4:$G$200,'Input_OL'!$C$4:$C$200,C130,'Input_OL'!$F$4:$F$200,B130))</x:f>
      </x:c>
      <x:c r="P130" s="75" t="str">
        <x:f>IF($C130="","",IF(N130=0,"확인필요",IF(ABS(M130-N130)/N130&lt;=0.2,"정상","Rule초과")))</x:f>
      </x:c>
      <x:c r="Q130" s="75" t="str">
        <x:f>IF($C130="","",IF(O130=0,"확인필요",IF(ABS(M130-O130)/O130&lt;=0.3,"정상","Rule초과")))</x:f>
      </x:c>
      <x:c r="R130" s="75" t="str">
        <x:f>IF($C130="","",M130)</x:f>
      </x:c>
      <x:c r="S130" s="75" t="str">
        <x:f>IF($C130="","",R130*SUMIFS('Master_Rules'!$J$4:$J$200,'Master_Rules'!$D$4:$D$200,C130))</x:f>
      </x:c>
      <x:c r="T130" s="72" t="str">
        <x:f>IF($C130="","",IF(OR(P130="Rule초과",Q130="Rule초과"),"Flex 확인",IF(R130&gt;J130,"MOQ 조정","정상")))</x:f>
      </x:c>
    </x:row>
    <x:row r="131">
      <x:c r="A131" s="71"/>
      <x:c r="B131" s="71"/>
      <x:c r="C131" s="72"/>
      <x:c r="D131" s="72"/>
      <x:c r="E131" s="72"/>
      <x:c r="F131" s="75" t="str">
        <x:f>IF($C131="","",SUMIFS('Input_OL'!$K$4:$K$200,'Input_OL'!$C$4:$C$200,C131,'Input_OL'!$F$4:$F$200,B131))</x:f>
      </x:c>
      <x:c r="G131" s="75" t="str">
        <x:f>IF($C131="","",SUMIFS('Input_Inventory'!$G$4:$G$200,'Input_Inventory'!$C$4:$C$200,C131))</x:f>
      </x:c>
      <x:c r="H131" s="75" t="str">
        <x:f>IF($C131="","",SUMIFS('Input_Inventory'!$L$4:$L$200,'Input_Inventory'!$C$4:$C$200,C131,'Input_Inventory'!$F$4:$F$200,B131))</x:f>
      </x:c>
      <x:c r="I131" s="75" t="str">
        <x:f>IF($C131="","",G131+H131)</x:f>
      </x:c>
      <x:c r="J131" s="75" t="str">
        <x:f>IF($C131="","",MAX(0,F131-I131))</x:f>
      </x:c>
      <x:c r="K131" s="75" t="str">
        <x:f>IF($C131="","",SUMIFS('Master_Rules'!$G$4:$G$200,'Master_Rules'!$D$4:$D$200,C131))</x:f>
      </x:c>
      <x:c r="L131" s="75" t="str">
        <x:f>IF($C131="","",SUMIFS('Master_Rules'!$H$4:$H$200,'Master_Rules'!$D$4:$D$200,C131))</x:f>
      </x:c>
      <x:c r="M131" s="75" t="str">
        <x:f>IF($C131="","",IF(K131=0,J131,MAX(K131,CEILING(J131,L131))))</x:f>
      </x:c>
      <x:c r="N131" s="75" t="str">
        <x:f>IF($C131="","",SUMIFS('Input_OL'!$G$4:$G$200,'Input_OL'!$C$4:$C$200,C131,'Input_OL'!$F$4:$F$200,B131))</x:f>
      </x:c>
      <x:c r="O131" s="75" t="str">
        <x:f>IF($C131="","",SUMIFS('Input_OL'!$G$4:$G$200,'Input_OL'!$C$4:$C$200,C131,'Input_OL'!$F$4:$F$200,B131))</x:f>
      </x:c>
      <x:c r="P131" s="75" t="str">
        <x:f>IF($C131="","",IF(N131=0,"확인필요",IF(ABS(M131-N131)/N131&lt;=0.2,"정상","Rule초과")))</x:f>
      </x:c>
      <x:c r="Q131" s="75" t="str">
        <x:f>IF($C131="","",IF(O131=0,"확인필요",IF(ABS(M131-O131)/O131&lt;=0.3,"정상","Rule초과")))</x:f>
      </x:c>
      <x:c r="R131" s="75" t="str">
        <x:f>IF($C131="","",M131)</x:f>
      </x:c>
      <x:c r="S131" s="75" t="str">
        <x:f>IF($C131="","",R131*SUMIFS('Master_Rules'!$J$4:$J$200,'Master_Rules'!$D$4:$D$200,C131))</x:f>
      </x:c>
      <x:c r="T131" s="72" t="str">
        <x:f>IF($C131="","",IF(OR(P131="Rule초과",Q131="Rule초과"),"Flex 확인",IF(R131&gt;J131,"MOQ 조정","정상")))</x:f>
      </x:c>
    </x:row>
    <x:row r="132">
      <x:c r="A132" s="71"/>
      <x:c r="B132" s="71"/>
      <x:c r="C132" s="72"/>
      <x:c r="D132" s="72"/>
      <x:c r="E132" s="72"/>
      <x:c r="F132" s="75" t="str">
        <x:f>IF($C132="","",SUMIFS('Input_OL'!$K$4:$K$200,'Input_OL'!$C$4:$C$200,C132,'Input_OL'!$F$4:$F$200,B132))</x:f>
      </x:c>
      <x:c r="G132" s="75" t="str">
        <x:f>IF($C132="","",SUMIFS('Input_Inventory'!$G$4:$G$200,'Input_Inventory'!$C$4:$C$200,C132))</x:f>
      </x:c>
      <x:c r="H132" s="75" t="str">
        <x:f>IF($C132="","",SUMIFS('Input_Inventory'!$L$4:$L$200,'Input_Inventory'!$C$4:$C$200,C132,'Input_Inventory'!$F$4:$F$200,B132))</x:f>
      </x:c>
      <x:c r="I132" s="75" t="str">
        <x:f>IF($C132="","",G132+H132)</x:f>
      </x:c>
      <x:c r="J132" s="75" t="str">
        <x:f>IF($C132="","",MAX(0,F132-I132))</x:f>
      </x:c>
      <x:c r="K132" s="75" t="str">
        <x:f>IF($C132="","",SUMIFS('Master_Rules'!$G$4:$G$200,'Master_Rules'!$D$4:$D$200,C132))</x:f>
      </x:c>
      <x:c r="L132" s="75" t="str">
        <x:f>IF($C132="","",SUMIFS('Master_Rules'!$H$4:$H$200,'Master_Rules'!$D$4:$D$200,C132))</x:f>
      </x:c>
      <x:c r="M132" s="75" t="str">
        <x:f>IF($C132="","",IF(K132=0,J132,MAX(K132,CEILING(J132,L132))))</x:f>
      </x:c>
      <x:c r="N132" s="75" t="str">
        <x:f>IF($C132="","",SUMIFS('Input_OL'!$G$4:$G$200,'Input_OL'!$C$4:$C$200,C132,'Input_OL'!$F$4:$F$200,B132))</x:f>
      </x:c>
      <x:c r="O132" s="75" t="str">
        <x:f>IF($C132="","",SUMIFS('Input_OL'!$G$4:$G$200,'Input_OL'!$C$4:$C$200,C132,'Input_OL'!$F$4:$F$200,B132))</x:f>
      </x:c>
      <x:c r="P132" s="75" t="str">
        <x:f>IF($C132="","",IF(N132=0,"확인필요",IF(ABS(M132-N132)/N132&lt;=0.2,"정상","Rule초과")))</x:f>
      </x:c>
      <x:c r="Q132" s="75" t="str">
        <x:f>IF($C132="","",IF(O132=0,"확인필요",IF(ABS(M132-O132)/O132&lt;=0.3,"정상","Rule초과")))</x:f>
      </x:c>
      <x:c r="R132" s="75" t="str">
        <x:f>IF($C132="","",M132)</x:f>
      </x:c>
      <x:c r="S132" s="75" t="str">
        <x:f>IF($C132="","",R132*SUMIFS('Master_Rules'!$J$4:$J$200,'Master_Rules'!$D$4:$D$200,C132))</x:f>
      </x:c>
      <x:c r="T132" s="72" t="str">
        <x:f>IF($C132="","",IF(OR(P132="Rule초과",Q132="Rule초과"),"Flex 확인",IF(R132&gt;J132,"MOQ 조정","정상")))</x:f>
      </x:c>
    </x:row>
    <x:row r="133">
      <x:c r="A133" s="71"/>
      <x:c r="B133" s="71"/>
      <x:c r="C133" s="72"/>
      <x:c r="D133" s="72"/>
      <x:c r="E133" s="72"/>
      <x:c r="F133" s="75" t="str">
        <x:f>IF($C133="","",SUMIFS('Input_OL'!$K$4:$K$200,'Input_OL'!$C$4:$C$200,C133,'Input_OL'!$F$4:$F$200,B133))</x:f>
      </x:c>
      <x:c r="G133" s="75" t="str">
        <x:f>IF($C133="","",SUMIFS('Input_Inventory'!$G$4:$G$200,'Input_Inventory'!$C$4:$C$200,C133))</x:f>
      </x:c>
      <x:c r="H133" s="75" t="str">
        <x:f>IF($C133="","",SUMIFS('Input_Inventory'!$L$4:$L$200,'Input_Inventory'!$C$4:$C$200,C133,'Input_Inventory'!$F$4:$F$200,B133))</x:f>
      </x:c>
      <x:c r="I133" s="75" t="str">
        <x:f>IF($C133="","",G133+H133)</x:f>
      </x:c>
      <x:c r="J133" s="75" t="str">
        <x:f>IF($C133="","",MAX(0,F133-I133))</x:f>
      </x:c>
      <x:c r="K133" s="75" t="str">
        <x:f>IF($C133="","",SUMIFS('Master_Rules'!$G$4:$G$200,'Master_Rules'!$D$4:$D$200,C133))</x:f>
      </x:c>
      <x:c r="L133" s="75" t="str">
        <x:f>IF($C133="","",SUMIFS('Master_Rules'!$H$4:$H$200,'Master_Rules'!$D$4:$D$200,C133))</x:f>
      </x:c>
      <x:c r="M133" s="75" t="str">
        <x:f>IF($C133="","",IF(K133=0,J133,MAX(K133,CEILING(J133,L133))))</x:f>
      </x:c>
      <x:c r="N133" s="75" t="str">
        <x:f>IF($C133="","",SUMIFS('Input_OL'!$G$4:$G$200,'Input_OL'!$C$4:$C$200,C133,'Input_OL'!$F$4:$F$200,B133))</x:f>
      </x:c>
      <x:c r="O133" s="75" t="str">
        <x:f>IF($C133="","",SUMIFS('Input_OL'!$G$4:$G$200,'Input_OL'!$C$4:$C$200,C133,'Input_OL'!$F$4:$F$200,B133))</x:f>
      </x:c>
      <x:c r="P133" s="75" t="str">
        <x:f>IF($C133="","",IF(N133=0,"확인필요",IF(ABS(M133-N133)/N133&lt;=0.2,"정상","Rule초과")))</x:f>
      </x:c>
      <x:c r="Q133" s="75" t="str">
        <x:f>IF($C133="","",IF(O133=0,"확인필요",IF(ABS(M133-O133)/O133&lt;=0.3,"정상","Rule초과")))</x:f>
      </x:c>
      <x:c r="R133" s="75" t="str">
        <x:f>IF($C133="","",M133)</x:f>
      </x:c>
      <x:c r="S133" s="75" t="str">
        <x:f>IF($C133="","",R133*SUMIFS('Master_Rules'!$J$4:$J$200,'Master_Rules'!$D$4:$D$200,C133))</x:f>
      </x:c>
      <x:c r="T133" s="72" t="str">
        <x:f>IF($C133="","",IF(OR(P133="Rule초과",Q133="Rule초과"),"Flex 확인",IF(R133&gt;J133,"MOQ 조정","정상")))</x:f>
      </x:c>
    </x:row>
    <x:row r="134">
      <x:c r="A134" s="71"/>
      <x:c r="B134" s="71"/>
      <x:c r="C134" s="72"/>
      <x:c r="D134" s="72"/>
      <x:c r="E134" s="72"/>
      <x:c r="F134" s="75" t="str">
        <x:f>IF($C134="","",SUMIFS('Input_OL'!$K$4:$K$200,'Input_OL'!$C$4:$C$200,C134,'Input_OL'!$F$4:$F$200,B134))</x:f>
      </x:c>
      <x:c r="G134" s="75" t="str">
        <x:f>IF($C134="","",SUMIFS('Input_Inventory'!$G$4:$G$200,'Input_Inventory'!$C$4:$C$200,C134))</x:f>
      </x:c>
      <x:c r="H134" s="75" t="str">
        <x:f>IF($C134="","",SUMIFS('Input_Inventory'!$L$4:$L$200,'Input_Inventory'!$C$4:$C$200,C134,'Input_Inventory'!$F$4:$F$200,B134))</x:f>
      </x:c>
      <x:c r="I134" s="75" t="str">
        <x:f>IF($C134="","",G134+H134)</x:f>
      </x:c>
      <x:c r="J134" s="75" t="str">
        <x:f>IF($C134="","",MAX(0,F134-I134))</x:f>
      </x:c>
      <x:c r="K134" s="75" t="str">
        <x:f>IF($C134="","",SUMIFS('Master_Rules'!$G$4:$G$200,'Master_Rules'!$D$4:$D$200,C134))</x:f>
      </x:c>
      <x:c r="L134" s="75" t="str">
        <x:f>IF($C134="","",SUMIFS('Master_Rules'!$H$4:$H$200,'Master_Rules'!$D$4:$D$200,C134))</x:f>
      </x:c>
      <x:c r="M134" s="75" t="str">
        <x:f>IF($C134="","",IF(K134=0,J134,MAX(K134,CEILING(J134,L134))))</x:f>
      </x:c>
      <x:c r="N134" s="75" t="str">
        <x:f>IF($C134="","",SUMIFS('Input_OL'!$G$4:$G$200,'Input_OL'!$C$4:$C$200,C134,'Input_OL'!$F$4:$F$200,B134))</x:f>
      </x:c>
      <x:c r="O134" s="75" t="str">
        <x:f>IF($C134="","",SUMIFS('Input_OL'!$G$4:$G$200,'Input_OL'!$C$4:$C$200,C134,'Input_OL'!$F$4:$F$200,B134))</x:f>
      </x:c>
      <x:c r="P134" s="75" t="str">
        <x:f>IF($C134="","",IF(N134=0,"확인필요",IF(ABS(M134-N134)/N134&lt;=0.2,"정상","Rule초과")))</x:f>
      </x:c>
      <x:c r="Q134" s="75" t="str">
        <x:f>IF($C134="","",IF(O134=0,"확인필요",IF(ABS(M134-O134)/O134&lt;=0.3,"정상","Rule초과")))</x:f>
      </x:c>
      <x:c r="R134" s="75" t="str">
        <x:f>IF($C134="","",M134)</x:f>
      </x:c>
      <x:c r="S134" s="75" t="str">
        <x:f>IF($C134="","",R134*SUMIFS('Master_Rules'!$J$4:$J$200,'Master_Rules'!$D$4:$D$200,C134))</x:f>
      </x:c>
      <x:c r="T134" s="72" t="str">
        <x:f>IF($C134="","",IF(OR(P134="Rule초과",Q134="Rule초과"),"Flex 확인",IF(R134&gt;J134,"MOQ 조정","정상")))</x:f>
      </x:c>
    </x:row>
    <x:row r="135">
      <x:c r="A135" s="71"/>
      <x:c r="B135" s="71"/>
      <x:c r="C135" s="72"/>
      <x:c r="D135" s="72"/>
      <x:c r="E135" s="72"/>
      <x:c r="F135" s="75" t="str">
        <x:f>IF($C135="","",SUMIFS('Input_OL'!$K$4:$K$200,'Input_OL'!$C$4:$C$200,C135,'Input_OL'!$F$4:$F$200,B135))</x:f>
      </x:c>
      <x:c r="G135" s="75" t="str">
        <x:f>IF($C135="","",SUMIFS('Input_Inventory'!$G$4:$G$200,'Input_Inventory'!$C$4:$C$200,C135))</x:f>
      </x:c>
      <x:c r="H135" s="75" t="str">
        <x:f>IF($C135="","",SUMIFS('Input_Inventory'!$L$4:$L$200,'Input_Inventory'!$C$4:$C$200,C135,'Input_Inventory'!$F$4:$F$200,B135))</x:f>
      </x:c>
      <x:c r="I135" s="75" t="str">
        <x:f>IF($C135="","",G135+H135)</x:f>
      </x:c>
      <x:c r="J135" s="75" t="str">
        <x:f>IF($C135="","",MAX(0,F135-I135))</x:f>
      </x:c>
      <x:c r="K135" s="75" t="str">
        <x:f>IF($C135="","",SUMIFS('Master_Rules'!$G$4:$G$200,'Master_Rules'!$D$4:$D$200,C135))</x:f>
      </x:c>
      <x:c r="L135" s="75" t="str">
        <x:f>IF($C135="","",SUMIFS('Master_Rules'!$H$4:$H$200,'Master_Rules'!$D$4:$D$200,C135))</x:f>
      </x:c>
      <x:c r="M135" s="75" t="str">
        <x:f>IF($C135="","",IF(K135=0,J135,MAX(K135,CEILING(J135,L135))))</x:f>
      </x:c>
      <x:c r="N135" s="75" t="str">
        <x:f>IF($C135="","",SUMIFS('Input_OL'!$G$4:$G$200,'Input_OL'!$C$4:$C$200,C135,'Input_OL'!$F$4:$F$200,B135))</x:f>
      </x:c>
      <x:c r="O135" s="75" t="str">
        <x:f>IF($C135="","",SUMIFS('Input_OL'!$G$4:$G$200,'Input_OL'!$C$4:$C$200,C135,'Input_OL'!$F$4:$F$200,B135))</x:f>
      </x:c>
      <x:c r="P135" s="75" t="str">
        <x:f>IF($C135="","",IF(N135=0,"확인필요",IF(ABS(M135-N135)/N135&lt;=0.2,"정상","Rule초과")))</x:f>
      </x:c>
      <x:c r="Q135" s="75" t="str">
        <x:f>IF($C135="","",IF(O135=0,"확인필요",IF(ABS(M135-O135)/O135&lt;=0.3,"정상","Rule초과")))</x:f>
      </x:c>
      <x:c r="R135" s="75" t="str">
        <x:f>IF($C135="","",M135)</x:f>
      </x:c>
      <x:c r="S135" s="75" t="str">
        <x:f>IF($C135="","",R135*SUMIFS('Master_Rules'!$J$4:$J$200,'Master_Rules'!$D$4:$D$200,C135))</x:f>
      </x:c>
      <x:c r="T135" s="72" t="str">
        <x:f>IF($C135="","",IF(OR(P135="Rule초과",Q135="Rule초과"),"Flex 확인",IF(R135&gt;J135,"MOQ 조정","정상")))</x:f>
      </x:c>
    </x:row>
    <x:row r="136">
      <x:c r="A136" s="71"/>
      <x:c r="B136" s="71"/>
      <x:c r="C136" s="72"/>
      <x:c r="D136" s="72"/>
      <x:c r="E136" s="72"/>
      <x:c r="F136" s="75" t="str">
        <x:f>IF($C136="","",SUMIFS('Input_OL'!$K$4:$K$200,'Input_OL'!$C$4:$C$200,C136,'Input_OL'!$F$4:$F$200,B136))</x:f>
      </x:c>
      <x:c r="G136" s="75" t="str">
        <x:f>IF($C136="","",SUMIFS('Input_Inventory'!$G$4:$G$200,'Input_Inventory'!$C$4:$C$200,C136))</x:f>
      </x:c>
      <x:c r="H136" s="75" t="str">
        <x:f>IF($C136="","",SUMIFS('Input_Inventory'!$L$4:$L$200,'Input_Inventory'!$C$4:$C$200,C136,'Input_Inventory'!$F$4:$F$200,B136))</x:f>
      </x:c>
      <x:c r="I136" s="75" t="str">
        <x:f>IF($C136="","",G136+H136)</x:f>
      </x:c>
      <x:c r="J136" s="75" t="str">
        <x:f>IF($C136="","",MAX(0,F136-I136))</x:f>
      </x:c>
      <x:c r="K136" s="75" t="str">
        <x:f>IF($C136="","",SUMIFS('Master_Rules'!$G$4:$G$200,'Master_Rules'!$D$4:$D$200,C136))</x:f>
      </x:c>
      <x:c r="L136" s="75" t="str">
        <x:f>IF($C136="","",SUMIFS('Master_Rules'!$H$4:$H$200,'Master_Rules'!$D$4:$D$200,C136))</x:f>
      </x:c>
      <x:c r="M136" s="75" t="str">
        <x:f>IF($C136="","",IF(K136=0,J136,MAX(K136,CEILING(J136,L136))))</x:f>
      </x:c>
      <x:c r="N136" s="75" t="str">
        <x:f>IF($C136="","",SUMIFS('Input_OL'!$G$4:$G$200,'Input_OL'!$C$4:$C$200,C136,'Input_OL'!$F$4:$F$200,B136))</x:f>
      </x:c>
      <x:c r="O136" s="75" t="str">
        <x:f>IF($C136="","",SUMIFS('Input_OL'!$G$4:$G$200,'Input_OL'!$C$4:$C$200,C136,'Input_OL'!$F$4:$F$200,B136))</x:f>
      </x:c>
      <x:c r="P136" s="75" t="str">
        <x:f>IF($C136="","",IF(N136=0,"확인필요",IF(ABS(M136-N136)/N136&lt;=0.2,"정상","Rule초과")))</x:f>
      </x:c>
      <x:c r="Q136" s="75" t="str">
        <x:f>IF($C136="","",IF(O136=0,"확인필요",IF(ABS(M136-O136)/O136&lt;=0.3,"정상","Rule초과")))</x:f>
      </x:c>
      <x:c r="R136" s="75" t="str">
        <x:f>IF($C136="","",M136)</x:f>
      </x:c>
      <x:c r="S136" s="75" t="str">
        <x:f>IF($C136="","",R136*SUMIFS('Master_Rules'!$J$4:$J$200,'Master_Rules'!$D$4:$D$200,C136))</x:f>
      </x:c>
      <x:c r="T136" s="72" t="str">
        <x:f>IF($C136="","",IF(OR(P136="Rule초과",Q136="Rule초과"),"Flex 확인",IF(R136&gt;J136,"MOQ 조정","정상")))</x:f>
      </x:c>
    </x:row>
    <x:row r="137">
      <x:c r="A137" s="71"/>
      <x:c r="B137" s="71"/>
      <x:c r="C137" s="72"/>
      <x:c r="D137" s="72"/>
      <x:c r="E137" s="72"/>
      <x:c r="F137" s="75" t="str">
        <x:f>IF($C137="","",SUMIFS('Input_OL'!$K$4:$K$200,'Input_OL'!$C$4:$C$200,C137,'Input_OL'!$F$4:$F$200,B137))</x:f>
      </x:c>
      <x:c r="G137" s="75" t="str">
        <x:f>IF($C137="","",SUMIFS('Input_Inventory'!$G$4:$G$200,'Input_Inventory'!$C$4:$C$200,C137))</x:f>
      </x:c>
      <x:c r="H137" s="75" t="str">
        <x:f>IF($C137="","",SUMIFS('Input_Inventory'!$L$4:$L$200,'Input_Inventory'!$C$4:$C$200,C137,'Input_Inventory'!$F$4:$F$200,B137))</x:f>
      </x:c>
      <x:c r="I137" s="75" t="str">
        <x:f>IF($C137="","",G137+H137)</x:f>
      </x:c>
      <x:c r="J137" s="75" t="str">
        <x:f>IF($C137="","",MAX(0,F137-I137))</x:f>
      </x:c>
      <x:c r="K137" s="75" t="str">
        <x:f>IF($C137="","",SUMIFS('Master_Rules'!$G$4:$G$200,'Master_Rules'!$D$4:$D$200,C137))</x:f>
      </x:c>
      <x:c r="L137" s="75" t="str">
        <x:f>IF($C137="","",SUMIFS('Master_Rules'!$H$4:$H$200,'Master_Rules'!$D$4:$D$200,C137))</x:f>
      </x:c>
      <x:c r="M137" s="75" t="str">
        <x:f>IF($C137="","",IF(K137=0,J137,MAX(K137,CEILING(J137,L137))))</x:f>
      </x:c>
      <x:c r="N137" s="75" t="str">
        <x:f>IF($C137="","",SUMIFS('Input_OL'!$G$4:$G$200,'Input_OL'!$C$4:$C$200,C137,'Input_OL'!$F$4:$F$200,B137))</x:f>
      </x:c>
      <x:c r="O137" s="75" t="str">
        <x:f>IF($C137="","",SUMIFS('Input_OL'!$G$4:$G$200,'Input_OL'!$C$4:$C$200,C137,'Input_OL'!$F$4:$F$200,B137))</x:f>
      </x:c>
      <x:c r="P137" s="75" t="str">
        <x:f>IF($C137="","",IF(N137=0,"확인필요",IF(ABS(M137-N137)/N137&lt;=0.2,"정상","Rule초과")))</x:f>
      </x:c>
      <x:c r="Q137" s="75" t="str">
        <x:f>IF($C137="","",IF(O137=0,"확인필요",IF(ABS(M137-O137)/O137&lt;=0.3,"정상","Rule초과")))</x:f>
      </x:c>
      <x:c r="R137" s="75" t="str">
        <x:f>IF($C137="","",M137)</x:f>
      </x:c>
      <x:c r="S137" s="75" t="str">
        <x:f>IF($C137="","",R137*SUMIFS('Master_Rules'!$J$4:$J$200,'Master_Rules'!$D$4:$D$200,C137))</x:f>
      </x:c>
      <x:c r="T137" s="72" t="str">
        <x:f>IF($C137="","",IF(OR(P137="Rule초과",Q137="Rule초과"),"Flex 확인",IF(R137&gt;J137,"MOQ 조정","정상")))</x:f>
      </x:c>
    </x:row>
    <x:row r="138">
      <x:c r="A138" s="71"/>
      <x:c r="B138" s="71"/>
      <x:c r="C138" s="72"/>
      <x:c r="D138" s="72"/>
      <x:c r="E138" s="72"/>
      <x:c r="F138" s="75" t="str">
        <x:f>IF($C138="","",SUMIFS('Input_OL'!$K$4:$K$200,'Input_OL'!$C$4:$C$200,C138,'Input_OL'!$F$4:$F$200,B138))</x:f>
      </x:c>
      <x:c r="G138" s="75" t="str">
        <x:f>IF($C138="","",SUMIFS('Input_Inventory'!$G$4:$G$200,'Input_Inventory'!$C$4:$C$200,C138))</x:f>
      </x:c>
      <x:c r="H138" s="75" t="str">
        <x:f>IF($C138="","",SUMIFS('Input_Inventory'!$L$4:$L$200,'Input_Inventory'!$C$4:$C$200,C138,'Input_Inventory'!$F$4:$F$200,B138))</x:f>
      </x:c>
      <x:c r="I138" s="75" t="str">
        <x:f>IF($C138="","",G138+H138)</x:f>
      </x:c>
      <x:c r="J138" s="75" t="str">
        <x:f>IF($C138="","",MAX(0,F138-I138))</x:f>
      </x:c>
      <x:c r="K138" s="75" t="str">
        <x:f>IF($C138="","",SUMIFS('Master_Rules'!$G$4:$G$200,'Master_Rules'!$D$4:$D$200,C138))</x:f>
      </x:c>
      <x:c r="L138" s="75" t="str">
        <x:f>IF($C138="","",SUMIFS('Master_Rules'!$H$4:$H$200,'Master_Rules'!$D$4:$D$200,C138))</x:f>
      </x:c>
      <x:c r="M138" s="75" t="str">
        <x:f>IF($C138="","",IF(K138=0,J138,MAX(K138,CEILING(J138,L138))))</x:f>
      </x:c>
      <x:c r="N138" s="75" t="str">
        <x:f>IF($C138="","",SUMIFS('Input_OL'!$G$4:$G$200,'Input_OL'!$C$4:$C$200,C138,'Input_OL'!$F$4:$F$200,B138))</x:f>
      </x:c>
      <x:c r="O138" s="75" t="str">
        <x:f>IF($C138="","",SUMIFS('Input_OL'!$G$4:$G$200,'Input_OL'!$C$4:$C$200,C138,'Input_OL'!$F$4:$F$200,B138))</x:f>
      </x:c>
      <x:c r="P138" s="75" t="str">
        <x:f>IF($C138="","",IF(N138=0,"확인필요",IF(ABS(M138-N138)/N138&lt;=0.2,"정상","Rule초과")))</x:f>
      </x:c>
      <x:c r="Q138" s="75" t="str">
        <x:f>IF($C138="","",IF(O138=0,"확인필요",IF(ABS(M138-O138)/O138&lt;=0.3,"정상","Rule초과")))</x:f>
      </x:c>
      <x:c r="R138" s="75" t="str">
        <x:f>IF($C138="","",M138)</x:f>
      </x:c>
      <x:c r="S138" s="75" t="str">
        <x:f>IF($C138="","",R138*SUMIFS('Master_Rules'!$J$4:$J$200,'Master_Rules'!$D$4:$D$200,C138))</x:f>
      </x:c>
      <x:c r="T138" s="72" t="str">
        <x:f>IF($C138="","",IF(OR(P138="Rule초과",Q138="Rule초과"),"Flex 확인",IF(R138&gt;J138,"MOQ 조정","정상")))</x:f>
      </x:c>
    </x:row>
    <x:row r="139">
      <x:c r="A139" s="71"/>
      <x:c r="B139" s="71"/>
      <x:c r="C139" s="72"/>
      <x:c r="D139" s="72"/>
      <x:c r="E139" s="72"/>
      <x:c r="F139" s="75" t="str">
        <x:f>IF($C139="","",SUMIFS('Input_OL'!$K$4:$K$200,'Input_OL'!$C$4:$C$200,C139,'Input_OL'!$F$4:$F$200,B139))</x:f>
      </x:c>
      <x:c r="G139" s="75" t="str">
        <x:f>IF($C139="","",SUMIFS('Input_Inventory'!$G$4:$G$200,'Input_Inventory'!$C$4:$C$200,C139))</x:f>
      </x:c>
      <x:c r="H139" s="75" t="str">
        <x:f>IF($C139="","",SUMIFS('Input_Inventory'!$L$4:$L$200,'Input_Inventory'!$C$4:$C$200,C139,'Input_Inventory'!$F$4:$F$200,B139))</x:f>
      </x:c>
      <x:c r="I139" s="75" t="str">
        <x:f>IF($C139="","",G139+H139)</x:f>
      </x:c>
      <x:c r="J139" s="75" t="str">
        <x:f>IF($C139="","",MAX(0,F139-I139))</x:f>
      </x:c>
      <x:c r="K139" s="75" t="str">
        <x:f>IF($C139="","",SUMIFS('Master_Rules'!$G$4:$G$200,'Master_Rules'!$D$4:$D$200,C139))</x:f>
      </x:c>
      <x:c r="L139" s="75" t="str">
        <x:f>IF($C139="","",SUMIFS('Master_Rules'!$H$4:$H$200,'Master_Rules'!$D$4:$D$200,C139))</x:f>
      </x:c>
      <x:c r="M139" s="75" t="str">
        <x:f>IF($C139="","",IF(K139=0,J139,MAX(K139,CEILING(J139,L139))))</x:f>
      </x:c>
      <x:c r="N139" s="75" t="str">
        <x:f>IF($C139="","",SUMIFS('Input_OL'!$G$4:$G$200,'Input_OL'!$C$4:$C$200,C139,'Input_OL'!$F$4:$F$200,B139))</x:f>
      </x:c>
      <x:c r="O139" s="75" t="str">
        <x:f>IF($C139="","",SUMIFS('Input_OL'!$G$4:$G$200,'Input_OL'!$C$4:$C$200,C139,'Input_OL'!$F$4:$F$200,B139))</x:f>
      </x:c>
      <x:c r="P139" s="75" t="str">
        <x:f>IF($C139="","",IF(N139=0,"확인필요",IF(ABS(M139-N139)/N139&lt;=0.2,"정상","Rule초과")))</x:f>
      </x:c>
      <x:c r="Q139" s="75" t="str">
        <x:f>IF($C139="","",IF(O139=0,"확인필요",IF(ABS(M139-O139)/O139&lt;=0.3,"정상","Rule초과")))</x:f>
      </x:c>
      <x:c r="R139" s="75" t="str">
        <x:f>IF($C139="","",M139)</x:f>
      </x:c>
      <x:c r="S139" s="75" t="str">
        <x:f>IF($C139="","",R139*SUMIFS('Master_Rules'!$J$4:$J$200,'Master_Rules'!$D$4:$D$200,C139))</x:f>
      </x:c>
      <x:c r="T139" s="72" t="str">
        <x:f>IF($C139="","",IF(OR(P139="Rule초과",Q139="Rule초과"),"Flex 확인",IF(R139&gt;J139,"MOQ 조정","정상")))</x:f>
      </x:c>
    </x:row>
    <x:row r="140">
      <x:c r="A140" s="71"/>
      <x:c r="B140" s="71"/>
      <x:c r="C140" s="72"/>
      <x:c r="D140" s="72"/>
      <x:c r="E140" s="72"/>
      <x:c r="F140" s="75" t="str">
        <x:f>IF($C140="","",SUMIFS('Input_OL'!$K$4:$K$200,'Input_OL'!$C$4:$C$200,C140,'Input_OL'!$F$4:$F$200,B140))</x:f>
      </x:c>
      <x:c r="G140" s="75" t="str">
        <x:f>IF($C140="","",SUMIFS('Input_Inventory'!$G$4:$G$200,'Input_Inventory'!$C$4:$C$200,C140))</x:f>
      </x:c>
      <x:c r="H140" s="75" t="str">
        <x:f>IF($C140="","",SUMIFS('Input_Inventory'!$L$4:$L$200,'Input_Inventory'!$C$4:$C$200,C140,'Input_Inventory'!$F$4:$F$200,B140))</x:f>
      </x:c>
      <x:c r="I140" s="75" t="str">
        <x:f>IF($C140="","",G140+H140)</x:f>
      </x:c>
      <x:c r="J140" s="75" t="str">
        <x:f>IF($C140="","",MAX(0,F140-I140))</x:f>
      </x:c>
      <x:c r="K140" s="75" t="str">
        <x:f>IF($C140="","",SUMIFS('Master_Rules'!$G$4:$G$200,'Master_Rules'!$D$4:$D$200,C140))</x:f>
      </x:c>
      <x:c r="L140" s="75" t="str">
        <x:f>IF($C140="","",SUMIFS('Master_Rules'!$H$4:$H$200,'Master_Rules'!$D$4:$D$200,C140))</x:f>
      </x:c>
      <x:c r="M140" s="75" t="str">
        <x:f>IF($C140="","",IF(K140=0,J140,MAX(K140,CEILING(J140,L140))))</x:f>
      </x:c>
      <x:c r="N140" s="75" t="str">
        <x:f>IF($C140="","",SUMIFS('Input_OL'!$G$4:$G$200,'Input_OL'!$C$4:$C$200,C140,'Input_OL'!$F$4:$F$200,B140))</x:f>
      </x:c>
      <x:c r="O140" s="75" t="str">
        <x:f>IF($C140="","",SUMIFS('Input_OL'!$G$4:$G$200,'Input_OL'!$C$4:$C$200,C140,'Input_OL'!$F$4:$F$200,B140))</x:f>
      </x:c>
      <x:c r="P140" s="75" t="str">
        <x:f>IF($C140="","",IF(N140=0,"확인필요",IF(ABS(M140-N140)/N140&lt;=0.2,"정상","Rule초과")))</x:f>
      </x:c>
      <x:c r="Q140" s="75" t="str">
        <x:f>IF($C140="","",IF(O140=0,"확인필요",IF(ABS(M140-O140)/O140&lt;=0.3,"정상","Rule초과")))</x:f>
      </x:c>
      <x:c r="R140" s="75" t="str">
        <x:f>IF($C140="","",M140)</x:f>
      </x:c>
      <x:c r="S140" s="75" t="str">
        <x:f>IF($C140="","",R140*SUMIFS('Master_Rules'!$J$4:$J$200,'Master_Rules'!$D$4:$D$200,C140))</x:f>
      </x:c>
      <x:c r="T140" s="72" t="str">
        <x:f>IF($C140="","",IF(OR(P140="Rule초과",Q140="Rule초과"),"Flex 확인",IF(R140&gt;J140,"MOQ 조정","정상")))</x:f>
      </x:c>
    </x:row>
    <x:row r="141">
      <x:c r="A141" s="71"/>
      <x:c r="B141" s="71"/>
      <x:c r="C141" s="72"/>
      <x:c r="D141" s="72"/>
      <x:c r="E141" s="72"/>
      <x:c r="F141" s="75" t="str">
        <x:f>IF($C141="","",SUMIFS('Input_OL'!$K$4:$K$200,'Input_OL'!$C$4:$C$200,C141,'Input_OL'!$F$4:$F$200,B141))</x:f>
      </x:c>
      <x:c r="G141" s="75" t="str">
        <x:f>IF($C141="","",SUMIFS('Input_Inventory'!$G$4:$G$200,'Input_Inventory'!$C$4:$C$200,C141))</x:f>
      </x:c>
      <x:c r="H141" s="75" t="str">
        <x:f>IF($C141="","",SUMIFS('Input_Inventory'!$L$4:$L$200,'Input_Inventory'!$C$4:$C$200,C141,'Input_Inventory'!$F$4:$F$200,B141))</x:f>
      </x:c>
      <x:c r="I141" s="75" t="str">
        <x:f>IF($C141="","",G141+H141)</x:f>
      </x:c>
      <x:c r="J141" s="75" t="str">
        <x:f>IF($C141="","",MAX(0,F141-I141))</x:f>
      </x:c>
      <x:c r="K141" s="75" t="str">
        <x:f>IF($C141="","",SUMIFS('Master_Rules'!$G$4:$G$200,'Master_Rules'!$D$4:$D$200,C141))</x:f>
      </x:c>
      <x:c r="L141" s="75" t="str">
        <x:f>IF($C141="","",SUMIFS('Master_Rules'!$H$4:$H$200,'Master_Rules'!$D$4:$D$200,C141))</x:f>
      </x:c>
      <x:c r="M141" s="75" t="str">
        <x:f>IF($C141="","",IF(K141=0,J141,MAX(K141,CEILING(J141,L141))))</x:f>
      </x:c>
      <x:c r="N141" s="75" t="str">
        <x:f>IF($C141="","",SUMIFS('Input_OL'!$G$4:$G$200,'Input_OL'!$C$4:$C$200,C141,'Input_OL'!$F$4:$F$200,B141))</x:f>
      </x:c>
      <x:c r="O141" s="75" t="str">
        <x:f>IF($C141="","",SUMIFS('Input_OL'!$G$4:$G$200,'Input_OL'!$C$4:$C$200,C141,'Input_OL'!$F$4:$F$200,B141))</x:f>
      </x:c>
      <x:c r="P141" s="75" t="str">
        <x:f>IF($C141="","",IF(N141=0,"확인필요",IF(ABS(M141-N141)/N141&lt;=0.2,"정상","Rule초과")))</x:f>
      </x:c>
      <x:c r="Q141" s="75" t="str">
        <x:f>IF($C141="","",IF(O141=0,"확인필요",IF(ABS(M141-O141)/O141&lt;=0.3,"정상","Rule초과")))</x:f>
      </x:c>
      <x:c r="R141" s="75" t="str">
        <x:f>IF($C141="","",M141)</x:f>
      </x:c>
      <x:c r="S141" s="75" t="str">
        <x:f>IF($C141="","",R141*SUMIFS('Master_Rules'!$J$4:$J$200,'Master_Rules'!$D$4:$D$200,C141))</x:f>
      </x:c>
      <x:c r="T141" s="72" t="str">
        <x:f>IF($C141="","",IF(OR(P141="Rule초과",Q141="Rule초과"),"Flex 확인",IF(R141&gt;J141,"MOQ 조정","정상")))</x:f>
      </x:c>
    </x:row>
    <x:row r="142">
      <x:c r="A142" s="71"/>
      <x:c r="B142" s="71"/>
      <x:c r="C142" s="72"/>
      <x:c r="D142" s="72"/>
      <x:c r="E142" s="72"/>
      <x:c r="F142" s="75" t="str">
        <x:f>IF($C142="","",SUMIFS('Input_OL'!$K$4:$K$200,'Input_OL'!$C$4:$C$200,C142,'Input_OL'!$F$4:$F$200,B142))</x:f>
      </x:c>
      <x:c r="G142" s="75" t="str">
        <x:f>IF($C142="","",SUMIFS('Input_Inventory'!$G$4:$G$200,'Input_Inventory'!$C$4:$C$200,C142))</x:f>
      </x:c>
      <x:c r="H142" s="75" t="str">
        <x:f>IF($C142="","",SUMIFS('Input_Inventory'!$L$4:$L$200,'Input_Inventory'!$C$4:$C$200,C142,'Input_Inventory'!$F$4:$F$200,B142))</x:f>
      </x:c>
      <x:c r="I142" s="75" t="str">
        <x:f>IF($C142="","",G142+H142)</x:f>
      </x:c>
      <x:c r="J142" s="75" t="str">
        <x:f>IF($C142="","",MAX(0,F142-I142))</x:f>
      </x:c>
      <x:c r="K142" s="75" t="str">
        <x:f>IF($C142="","",SUMIFS('Master_Rules'!$G$4:$G$200,'Master_Rules'!$D$4:$D$200,C142))</x:f>
      </x:c>
      <x:c r="L142" s="75" t="str">
        <x:f>IF($C142="","",SUMIFS('Master_Rules'!$H$4:$H$200,'Master_Rules'!$D$4:$D$200,C142))</x:f>
      </x:c>
      <x:c r="M142" s="75" t="str">
        <x:f>IF($C142="","",IF(K142=0,J142,MAX(K142,CEILING(J142,L142))))</x:f>
      </x:c>
      <x:c r="N142" s="75" t="str">
        <x:f>IF($C142="","",SUMIFS('Input_OL'!$G$4:$G$200,'Input_OL'!$C$4:$C$200,C142,'Input_OL'!$F$4:$F$200,B142))</x:f>
      </x:c>
      <x:c r="O142" s="75" t="str">
        <x:f>IF($C142="","",SUMIFS('Input_OL'!$G$4:$G$200,'Input_OL'!$C$4:$C$200,C142,'Input_OL'!$F$4:$F$200,B142))</x:f>
      </x:c>
      <x:c r="P142" s="75" t="str">
        <x:f>IF($C142="","",IF(N142=0,"확인필요",IF(ABS(M142-N142)/N142&lt;=0.2,"정상","Rule초과")))</x:f>
      </x:c>
      <x:c r="Q142" s="75" t="str">
        <x:f>IF($C142="","",IF(O142=0,"확인필요",IF(ABS(M142-O142)/O142&lt;=0.3,"정상","Rule초과")))</x:f>
      </x:c>
      <x:c r="R142" s="75" t="str">
        <x:f>IF($C142="","",M142)</x:f>
      </x:c>
      <x:c r="S142" s="75" t="str">
        <x:f>IF($C142="","",R142*SUMIFS('Master_Rules'!$J$4:$J$200,'Master_Rules'!$D$4:$D$200,C142))</x:f>
      </x:c>
      <x:c r="T142" s="72" t="str">
        <x:f>IF($C142="","",IF(OR(P142="Rule초과",Q142="Rule초과"),"Flex 확인",IF(R142&gt;J142,"MOQ 조정","정상")))</x:f>
      </x:c>
    </x:row>
    <x:row r="143">
      <x:c r="A143" s="71"/>
      <x:c r="B143" s="71"/>
      <x:c r="C143" s="72"/>
      <x:c r="D143" s="72"/>
      <x:c r="E143" s="72"/>
      <x:c r="F143" s="75" t="str">
        <x:f>IF($C143="","",SUMIFS('Input_OL'!$K$4:$K$200,'Input_OL'!$C$4:$C$200,C143,'Input_OL'!$F$4:$F$200,B143))</x:f>
      </x:c>
      <x:c r="G143" s="75" t="str">
        <x:f>IF($C143="","",SUMIFS('Input_Inventory'!$G$4:$G$200,'Input_Inventory'!$C$4:$C$200,C143))</x:f>
      </x:c>
      <x:c r="H143" s="75" t="str">
        <x:f>IF($C143="","",SUMIFS('Input_Inventory'!$L$4:$L$200,'Input_Inventory'!$C$4:$C$200,C143,'Input_Inventory'!$F$4:$F$200,B143))</x:f>
      </x:c>
      <x:c r="I143" s="75" t="str">
        <x:f>IF($C143="","",G143+H143)</x:f>
      </x:c>
      <x:c r="J143" s="75" t="str">
        <x:f>IF($C143="","",MAX(0,F143-I143))</x:f>
      </x:c>
      <x:c r="K143" s="75" t="str">
        <x:f>IF($C143="","",SUMIFS('Master_Rules'!$G$4:$G$200,'Master_Rules'!$D$4:$D$200,C143))</x:f>
      </x:c>
      <x:c r="L143" s="75" t="str">
        <x:f>IF($C143="","",SUMIFS('Master_Rules'!$H$4:$H$200,'Master_Rules'!$D$4:$D$200,C143))</x:f>
      </x:c>
      <x:c r="M143" s="75" t="str">
        <x:f>IF($C143="","",IF(K143=0,J143,MAX(K143,CEILING(J143,L143))))</x:f>
      </x:c>
      <x:c r="N143" s="75" t="str">
        <x:f>IF($C143="","",SUMIFS('Input_OL'!$G$4:$G$200,'Input_OL'!$C$4:$C$200,C143,'Input_OL'!$F$4:$F$200,B143))</x:f>
      </x:c>
      <x:c r="O143" s="75" t="str">
        <x:f>IF($C143="","",SUMIFS('Input_OL'!$G$4:$G$200,'Input_OL'!$C$4:$C$200,C143,'Input_OL'!$F$4:$F$200,B143))</x:f>
      </x:c>
      <x:c r="P143" s="75" t="str">
        <x:f>IF($C143="","",IF(N143=0,"확인필요",IF(ABS(M143-N143)/N143&lt;=0.2,"정상","Rule초과")))</x:f>
      </x:c>
      <x:c r="Q143" s="75" t="str">
        <x:f>IF($C143="","",IF(O143=0,"확인필요",IF(ABS(M143-O143)/O143&lt;=0.3,"정상","Rule초과")))</x:f>
      </x:c>
      <x:c r="R143" s="75" t="str">
        <x:f>IF($C143="","",M143)</x:f>
      </x:c>
      <x:c r="S143" s="75" t="str">
        <x:f>IF($C143="","",R143*SUMIFS('Master_Rules'!$J$4:$J$200,'Master_Rules'!$D$4:$D$200,C143))</x:f>
      </x:c>
      <x:c r="T143" s="72" t="str">
        <x:f>IF($C143="","",IF(OR(P143="Rule초과",Q143="Rule초과"),"Flex 확인",IF(R143&gt;J143,"MOQ 조정","정상")))</x:f>
      </x:c>
    </x:row>
    <x:row r="144">
      <x:c r="A144" s="71"/>
      <x:c r="B144" s="71"/>
      <x:c r="C144" s="72"/>
      <x:c r="D144" s="72"/>
      <x:c r="E144" s="72"/>
      <x:c r="F144" s="75" t="str">
        <x:f>IF($C144="","",SUMIFS('Input_OL'!$K$4:$K$200,'Input_OL'!$C$4:$C$200,C144,'Input_OL'!$F$4:$F$200,B144))</x:f>
      </x:c>
      <x:c r="G144" s="75" t="str">
        <x:f>IF($C144="","",SUMIFS('Input_Inventory'!$G$4:$G$200,'Input_Inventory'!$C$4:$C$200,C144))</x:f>
      </x:c>
      <x:c r="H144" s="75" t="str">
        <x:f>IF($C144="","",SUMIFS('Input_Inventory'!$L$4:$L$200,'Input_Inventory'!$C$4:$C$200,C144,'Input_Inventory'!$F$4:$F$200,B144))</x:f>
      </x:c>
      <x:c r="I144" s="75" t="str">
        <x:f>IF($C144="","",G144+H144)</x:f>
      </x:c>
      <x:c r="J144" s="75" t="str">
        <x:f>IF($C144="","",MAX(0,F144-I144))</x:f>
      </x:c>
      <x:c r="K144" s="75" t="str">
        <x:f>IF($C144="","",SUMIFS('Master_Rules'!$G$4:$G$200,'Master_Rules'!$D$4:$D$200,C144))</x:f>
      </x:c>
      <x:c r="L144" s="75" t="str">
        <x:f>IF($C144="","",SUMIFS('Master_Rules'!$H$4:$H$200,'Master_Rules'!$D$4:$D$200,C144))</x:f>
      </x:c>
      <x:c r="M144" s="75" t="str">
        <x:f>IF($C144="","",IF(K144=0,J144,MAX(K144,CEILING(J144,L144))))</x:f>
      </x:c>
      <x:c r="N144" s="75" t="str">
        <x:f>IF($C144="","",SUMIFS('Input_OL'!$G$4:$G$200,'Input_OL'!$C$4:$C$200,C144,'Input_OL'!$F$4:$F$200,B144))</x:f>
      </x:c>
      <x:c r="O144" s="75" t="str">
        <x:f>IF($C144="","",SUMIFS('Input_OL'!$G$4:$G$200,'Input_OL'!$C$4:$C$200,C144,'Input_OL'!$F$4:$F$200,B144))</x:f>
      </x:c>
      <x:c r="P144" s="75" t="str">
        <x:f>IF($C144="","",IF(N144=0,"확인필요",IF(ABS(M144-N144)/N144&lt;=0.2,"정상","Rule초과")))</x:f>
      </x:c>
      <x:c r="Q144" s="75" t="str">
        <x:f>IF($C144="","",IF(O144=0,"확인필요",IF(ABS(M144-O144)/O144&lt;=0.3,"정상","Rule초과")))</x:f>
      </x:c>
      <x:c r="R144" s="75" t="str">
        <x:f>IF($C144="","",M144)</x:f>
      </x:c>
      <x:c r="S144" s="75" t="str">
        <x:f>IF($C144="","",R144*SUMIFS('Master_Rules'!$J$4:$J$200,'Master_Rules'!$D$4:$D$200,C144))</x:f>
      </x:c>
      <x:c r="T144" s="72" t="str">
        <x:f>IF($C144="","",IF(OR(P144="Rule초과",Q144="Rule초과"),"Flex 확인",IF(R144&gt;J144,"MOQ 조정","정상")))</x:f>
      </x:c>
    </x:row>
    <x:row r="145">
      <x:c r="A145" s="71"/>
      <x:c r="B145" s="71"/>
      <x:c r="C145" s="72"/>
      <x:c r="D145" s="72"/>
      <x:c r="E145" s="72"/>
      <x:c r="F145" s="75" t="str">
        <x:f>IF($C145="","",SUMIFS('Input_OL'!$K$4:$K$200,'Input_OL'!$C$4:$C$200,C145,'Input_OL'!$F$4:$F$200,B145))</x:f>
      </x:c>
      <x:c r="G145" s="75" t="str">
        <x:f>IF($C145="","",SUMIFS('Input_Inventory'!$G$4:$G$200,'Input_Inventory'!$C$4:$C$200,C145))</x:f>
      </x:c>
      <x:c r="H145" s="75" t="str">
        <x:f>IF($C145="","",SUMIFS('Input_Inventory'!$L$4:$L$200,'Input_Inventory'!$C$4:$C$200,C145,'Input_Inventory'!$F$4:$F$200,B145))</x:f>
      </x:c>
      <x:c r="I145" s="75" t="str">
        <x:f>IF($C145="","",G145+H145)</x:f>
      </x:c>
      <x:c r="J145" s="75" t="str">
        <x:f>IF($C145="","",MAX(0,F145-I145))</x:f>
      </x:c>
      <x:c r="K145" s="75" t="str">
        <x:f>IF($C145="","",SUMIFS('Master_Rules'!$G$4:$G$200,'Master_Rules'!$D$4:$D$200,C145))</x:f>
      </x:c>
      <x:c r="L145" s="75" t="str">
        <x:f>IF($C145="","",SUMIFS('Master_Rules'!$H$4:$H$200,'Master_Rules'!$D$4:$D$200,C145))</x:f>
      </x:c>
      <x:c r="M145" s="75" t="str">
        <x:f>IF($C145="","",IF(K145=0,J145,MAX(K145,CEILING(J145,L145))))</x:f>
      </x:c>
      <x:c r="N145" s="75" t="str">
        <x:f>IF($C145="","",SUMIFS('Input_OL'!$G$4:$G$200,'Input_OL'!$C$4:$C$200,C145,'Input_OL'!$F$4:$F$200,B145))</x:f>
      </x:c>
      <x:c r="O145" s="75" t="str">
        <x:f>IF($C145="","",SUMIFS('Input_OL'!$G$4:$G$200,'Input_OL'!$C$4:$C$200,C145,'Input_OL'!$F$4:$F$200,B145))</x:f>
      </x:c>
      <x:c r="P145" s="75" t="str">
        <x:f>IF($C145="","",IF(N145=0,"확인필요",IF(ABS(M145-N145)/N145&lt;=0.2,"정상","Rule초과")))</x:f>
      </x:c>
      <x:c r="Q145" s="75" t="str">
        <x:f>IF($C145="","",IF(O145=0,"확인필요",IF(ABS(M145-O145)/O145&lt;=0.3,"정상","Rule초과")))</x:f>
      </x:c>
      <x:c r="R145" s="75" t="str">
        <x:f>IF($C145="","",M145)</x:f>
      </x:c>
      <x:c r="S145" s="75" t="str">
        <x:f>IF($C145="","",R145*SUMIFS('Master_Rules'!$J$4:$J$200,'Master_Rules'!$D$4:$D$200,C145))</x:f>
      </x:c>
      <x:c r="T145" s="72" t="str">
        <x:f>IF($C145="","",IF(OR(P145="Rule초과",Q145="Rule초과"),"Flex 확인",IF(R145&gt;J145,"MOQ 조정","정상")))</x:f>
      </x:c>
    </x:row>
    <x:row r="146">
      <x:c r="A146" s="71"/>
      <x:c r="B146" s="71"/>
      <x:c r="C146" s="72"/>
      <x:c r="D146" s="72"/>
      <x:c r="E146" s="72"/>
      <x:c r="F146" s="75" t="str">
        <x:f>IF($C146="","",SUMIFS('Input_OL'!$K$4:$K$200,'Input_OL'!$C$4:$C$200,C146,'Input_OL'!$F$4:$F$200,B146))</x:f>
      </x:c>
      <x:c r="G146" s="75" t="str">
        <x:f>IF($C146="","",SUMIFS('Input_Inventory'!$G$4:$G$200,'Input_Inventory'!$C$4:$C$200,C146))</x:f>
      </x:c>
      <x:c r="H146" s="75" t="str">
        <x:f>IF($C146="","",SUMIFS('Input_Inventory'!$L$4:$L$200,'Input_Inventory'!$C$4:$C$200,C146,'Input_Inventory'!$F$4:$F$200,B146))</x:f>
      </x:c>
      <x:c r="I146" s="75" t="str">
        <x:f>IF($C146="","",G146+H146)</x:f>
      </x:c>
      <x:c r="J146" s="75" t="str">
        <x:f>IF($C146="","",MAX(0,F146-I146))</x:f>
      </x:c>
      <x:c r="K146" s="75" t="str">
        <x:f>IF($C146="","",SUMIFS('Master_Rules'!$G$4:$G$200,'Master_Rules'!$D$4:$D$200,C146))</x:f>
      </x:c>
      <x:c r="L146" s="75" t="str">
        <x:f>IF($C146="","",SUMIFS('Master_Rules'!$H$4:$H$200,'Master_Rules'!$D$4:$D$200,C146))</x:f>
      </x:c>
      <x:c r="M146" s="75" t="str">
        <x:f>IF($C146="","",IF(K146=0,J146,MAX(K146,CEILING(J146,L146))))</x:f>
      </x:c>
      <x:c r="N146" s="75" t="str">
        <x:f>IF($C146="","",SUMIFS('Input_OL'!$G$4:$G$200,'Input_OL'!$C$4:$C$200,C146,'Input_OL'!$F$4:$F$200,B146))</x:f>
      </x:c>
      <x:c r="O146" s="75" t="str">
        <x:f>IF($C146="","",SUMIFS('Input_OL'!$G$4:$G$200,'Input_OL'!$C$4:$C$200,C146,'Input_OL'!$F$4:$F$200,B146))</x:f>
      </x:c>
      <x:c r="P146" s="75" t="str">
        <x:f>IF($C146="","",IF(N146=0,"확인필요",IF(ABS(M146-N146)/N146&lt;=0.2,"정상","Rule초과")))</x:f>
      </x:c>
      <x:c r="Q146" s="75" t="str">
        <x:f>IF($C146="","",IF(O146=0,"확인필요",IF(ABS(M146-O146)/O146&lt;=0.3,"정상","Rule초과")))</x:f>
      </x:c>
      <x:c r="R146" s="75" t="str">
        <x:f>IF($C146="","",M146)</x:f>
      </x:c>
      <x:c r="S146" s="75" t="str">
        <x:f>IF($C146="","",R146*SUMIFS('Master_Rules'!$J$4:$J$200,'Master_Rules'!$D$4:$D$200,C146))</x:f>
      </x:c>
      <x:c r="T146" s="72" t="str">
        <x:f>IF($C146="","",IF(OR(P146="Rule초과",Q146="Rule초과"),"Flex 확인",IF(R146&gt;J146,"MOQ 조정","정상")))</x:f>
      </x:c>
    </x:row>
    <x:row r="147">
      <x:c r="A147" s="71"/>
      <x:c r="B147" s="71"/>
      <x:c r="C147" s="72"/>
      <x:c r="D147" s="72"/>
      <x:c r="E147" s="72"/>
      <x:c r="F147" s="75" t="str">
        <x:f>IF($C147="","",SUMIFS('Input_OL'!$K$4:$K$200,'Input_OL'!$C$4:$C$200,C147,'Input_OL'!$F$4:$F$200,B147))</x:f>
      </x:c>
      <x:c r="G147" s="75" t="str">
        <x:f>IF($C147="","",SUMIFS('Input_Inventory'!$G$4:$G$200,'Input_Inventory'!$C$4:$C$200,C147))</x:f>
      </x:c>
      <x:c r="H147" s="75" t="str">
        <x:f>IF($C147="","",SUMIFS('Input_Inventory'!$L$4:$L$200,'Input_Inventory'!$C$4:$C$200,C147,'Input_Inventory'!$F$4:$F$200,B147))</x:f>
      </x:c>
      <x:c r="I147" s="75" t="str">
        <x:f>IF($C147="","",G147+H147)</x:f>
      </x:c>
      <x:c r="J147" s="75" t="str">
        <x:f>IF($C147="","",MAX(0,F147-I147))</x:f>
      </x:c>
      <x:c r="K147" s="75" t="str">
        <x:f>IF($C147="","",SUMIFS('Master_Rules'!$G$4:$G$200,'Master_Rules'!$D$4:$D$200,C147))</x:f>
      </x:c>
      <x:c r="L147" s="75" t="str">
        <x:f>IF($C147="","",SUMIFS('Master_Rules'!$H$4:$H$200,'Master_Rules'!$D$4:$D$200,C147))</x:f>
      </x:c>
      <x:c r="M147" s="75" t="str">
        <x:f>IF($C147="","",IF(K147=0,J147,MAX(K147,CEILING(J147,L147))))</x:f>
      </x:c>
      <x:c r="N147" s="75" t="str">
        <x:f>IF($C147="","",SUMIFS('Input_OL'!$G$4:$G$200,'Input_OL'!$C$4:$C$200,C147,'Input_OL'!$F$4:$F$200,B147))</x:f>
      </x:c>
      <x:c r="O147" s="75" t="str">
        <x:f>IF($C147="","",SUMIFS('Input_OL'!$G$4:$G$200,'Input_OL'!$C$4:$C$200,C147,'Input_OL'!$F$4:$F$200,B147))</x:f>
      </x:c>
      <x:c r="P147" s="75" t="str">
        <x:f>IF($C147="","",IF(N147=0,"확인필요",IF(ABS(M147-N147)/N147&lt;=0.2,"정상","Rule초과")))</x:f>
      </x:c>
      <x:c r="Q147" s="75" t="str">
        <x:f>IF($C147="","",IF(O147=0,"확인필요",IF(ABS(M147-O147)/O147&lt;=0.3,"정상","Rule초과")))</x:f>
      </x:c>
      <x:c r="R147" s="75" t="str">
        <x:f>IF($C147="","",M147)</x:f>
      </x:c>
      <x:c r="S147" s="75" t="str">
        <x:f>IF($C147="","",R147*SUMIFS('Master_Rules'!$J$4:$J$200,'Master_Rules'!$D$4:$D$200,C147))</x:f>
      </x:c>
      <x:c r="T147" s="72" t="str">
        <x:f>IF($C147="","",IF(OR(P147="Rule초과",Q147="Rule초과"),"Flex 확인",IF(R147&gt;J147,"MOQ 조정","정상")))</x:f>
      </x:c>
    </x:row>
    <x:row r="148">
      <x:c r="A148" s="71"/>
      <x:c r="B148" s="71"/>
      <x:c r="C148" s="72"/>
      <x:c r="D148" s="72"/>
      <x:c r="E148" s="72"/>
      <x:c r="F148" s="75" t="str">
        <x:f>IF($C148="","",SUMIFS('Input_OL'!$K$4:$K$200,'Input_OL'!$C$4:$C$200,C148,'Input_OL'!$F$4:$F$200,B148))</x:f>
      </x:c>
      <x:c r="G148" s="75" t="str">
        <x:f>IF($C148="","",SUMIFS('Input_Inventory'!$G$4:$G$200,'Input_Inventory'!$C$4:$C$200,C148))</x:f>
      </x:c>
      <x:c r="H148" s="75" t="str">
        <x:f>IF($C148="","",SUMIFS('Input_Inventory'!$L$4:$L$200,'Input_Inventory'!$C$4:$C$200,C148,'Input_Inventory'!$F$4:$F$200,B148))</x:f>
      </x:c>
      <x:c r="I148" s="75" t="str">
        <x:f>IF($C148="","",G148+H148)</x:f>
      </x:c>
      <x:c r="J148" s="75" t="str">
        <x:f>IF($C148="","",MAX(0,F148-I148))</x:f>
      </x:c>
      <x:c r="K148" s="75" t="str">
        <x:f>IF($C148="","",SUMIFS('Master_Rules'!$G$4:$G$200,'Master_Rules'!$D$4:$D$200,C148))</x:f>
      </x:c>
      <x:c r="L148" s="75" t="str">
        <x:f>IF($C148="","",SUMIFS('Master_Rules'!$H$4:$H$200,'Master_Rules'!$D$4:$D$200,C148))</x:f>
      </x:c>
      <x:c r="M148" s="75" t="str">
        <x:f>IF($C148="","",IF(K148=0,J148,MAX(K148,CEILING(J148,L148))))</x:f>
      </x:c>
      <x:c r="N148" s="75" t="str">
        <x:f>IF($C148="","",SUMIFS('Input_OL'!$G$4:$G$200,'Input_OL'!$C$4:$C$200,C148,'Input_OL'!$F$4:$F$200,B148))</x:f>
      </x:c>
      <x:c r="O148" s="75" t="str">
        <x:f>IF($C148="","",SUMIFS('Input_OL'!$G$4:$G$200,'Input_OL'!$C$4:$C$200,C148,'Input_OL'!$F$4:$F$200,B148))</x:f>
      </x:c>
      <x:c r="P148" s="75" t="str">
        <x:f>IF($C148="","",IF(N148=0,"확인필요",IF(ABS(M148-N148)/N148&lt;=0.2,"정상","Rule초과")))</x:f>
      </x:c>
      <x:c r="Q148" s="75" t="str">
        <x:f>IF($C148="","",IF(O148=0,"확인필요",IF(ABS(M148-O148)/O148&lt;=0.3,"정상","Rule초과")))</x:f>
      </x:c>
      <x:c r="R148" s="75" t="str">
        <x:f>IF($C148="","",M148)</x:f>
      </x:c>
      <x:c r="S148" s="75" t="str">
        <x:f>IF($C148="","",R148*SUMIFS('Master_Rules'!$J$4:$J$200,'Master_Rules'!$D$4:$D$200,C148))</x:f>
      </x:c>
      <x:c r="T148" s="72" t="str">
        <x:f>IF($C148="","",IF(OR(P148="Rule초과",Q148="Rule초과"),"Flex 확인",IF(R148&gt;J148,"MOQ 조정","정상")))</x:f>
      </x:c>
    </x:row>
    <x:row r="149">
      <x:c r="A149" s="71"/>
      <x:c r="B149" s="71"/>
      <x:c r="C149" s="72"/>
      <x:c r="D149" s="72"/>
      <x:c r="E149" s="72"/>
      <x:c r="F149" s="75" t="str">
        <x:f>IF($C149="","",SUMIFS('Input_OL'!$K$4:$K$200,'Input_OL'!$C$4:$C$200,C149,'Input_OL'!$F$4:$F$200,B149))</x:f>
      </x:c>
      <x:c r="G149" s="75" t="str">
        <x:f>IF($C149="","",SUMIFS('Input_Inventory'!$G$4:$G$200,'Input_Inventory'!$C$4:$C$200,C149))</x:f>
      </x:c>
      <x:c r="H149" s="75" t="str">
        <x:f>IF($C149="","",SUMIFS('Input_Inventory'!$L$4:$L$200,'Input_Inventory'!$C$4:$C$200,C149,'Input_Inventory'!$F$4:$F$200,B149))</x:f>
      </x:c>
      <x:c r="I149" s="75" t="str">
        <x:f>IF($C149="","",G149+H149)</x:f>
      </x:c>
      <x:c r="J149" s="75" t="str">
        <x:f>IF($C149="","",MAX(0,F149-I149))</x:f>
      </x:c>
      <x:c r="K149" s="75" t="str">
        <x:f>IF($C149="","",SUMIFS('Master_Rules'!$G$4:$G$200,'Master_Rules'!$D$4:$D$200,C149))</x:f>
      </x:c>
      <x:c r="L149" s="75" t="str">
        <x:f>IF($C149="","",SUMIFS('Master_Rules'!$H$4:$H$200,'Master_Rules'!$D$4:$D$200,C149))</x:f>
      </x:c>
      <x:c r="M149" s="75" t="str">
        <x:f>IF($C149="","",IF(K149=0,J149,MAX(K149,CEILING(J149,L149))))</x:f>
      </x:c>
      <x:c r="N149" s="75" t="str">
        <x:f>IF($C149="","",SUMIFS('Input_OL'!$G$4:$G$200,'Input_OL'!$C$4:$C$200,C149,'Input_OL'!$F$4:$F$200,B149))</x:f>
      </x:c>
      <x:c r="O149" s="75" t="str">
        <x:f>IF($C149="","",SUMIFS('Input_OL'!$G$4:$G$200,'Input_OL'!$C$4:$C$200,C149,'Input_OL'!$F$4:$F$200,B149))</x:f>
      </x:c>
      <x:c r="P149" s="75" t="str">
        <x:f>IF($C149="","",IF(N149=0,"확인필요",IF(ABS(M149-N149)/N149&lt;=0.2,"정상","Rule초과")))</x:f>
      </x:c>
      <x:c r="Q149" s="75" t="str">
        <x:f>IF($C149="","",IF(O149=0,"확인필요",IF(ABS(M149-O149)/O149&lt;=0.3,"정상","Rule초과")))</x:f>
      </x:c>
      <x:c r="R149" s="75" t="str">
        <x:f>IF($C149="","",M149)</x:f>
      </x:c>
      <x:c r="S149" s="75" t="str">
        <x:f>IF($C149="","",R149*SUMIFS('Master_Rules'!$J$4:$J$200,'Master_Rules'!$D$4:$D$200,C149))</x:f>
      </x:c>
      <x:c r="T149" s="72" t="str">
        <x:f>IF($C149="","",IF(OR(P149="Rule초과",Q149="Rule초과"),"Flex 확인",IF(R149&gt;J149,"MOQ 조정","정상")))</x:f>
      </x:c>
    </x:row>
    <x:row r="150">
      <x:c r="A150" s="71"/>
      <x:c r="B150" s="71"/>
      <x:c r="C150" s="72"/>
      <x:c r="D150" s="72"/>
      <x:c r="E150" s="72"/>
      <x:c r="F150" s="75" t="str">
        <x:f>IF($C150="","",SUMIFS('Input_OL'!$K$4:$K$200,'Input_OL'!$C$4:$C$200,C150,'Input_OL'!$F$4:$F$200,B150))</x:f>
      </x:c>
      <x:c r="G150" s="75" t="str">
        <x:f>IF($C150="","",SUMIFS('Input_Inventory'!$G$4:$G$200,'Input_Inventory'!$C$4:$C$200,C150))</x:f>
      </x:c>
      <x:c r="H150" s="75" t="str">
        <x:f>IF($C150="","",SUMIFS('Input_Inventory'!$L$4:$L$200,'Input_Inventory'!$C$4:$C$200,C150,'Input_Inventory'!$F$4:$F$200,B150))</x:f>
      </x:c>
      <x:c r="I150" s="75" t="str">
        <x:f>IF($C150="","",G150+H150)</x:f>
      </x:c>
      <x:c r="J150" s="75" t="str">
        <x:f>IF($C150="","",MAX(0,F150-I150))</x:f>
      </x:c>
      <x:c r="K150" s="75" t="str">
        <x:f>IF($C150="","",SUMIFS('Master_Rules'!$G$4:$G$200,'Master_Rules'!$D$4:$D$200,C150))</x:f>
      </x:c>
      <x:c r="L150" s="75" t="str">
        <x:f>IF($C150="","",SUMIFS('Master_Rules'!$H$4:$H$200,'Master_Rules'!$D$4:$D$200,C150))</x:f>
      </x:c>
      <x:c r="M150" s="75" t="str">
        <x:f>IF($C150="","",IF(K150=0,J150,MAX(K150,CEILING(J150,L150))))</x:f>
      </x:c>
      <x:c r="N150" s="75" t="str">
        <x:f>IF($C150="","",SUMIFS('Input_OL'!$G$4:$G$200,'Input_OL'!$C$4:$C$200,C150,'Input_OL'!$F$4:$F$200,B150))</x:f>
      </x:c>
      <x:c r="O150" s="75" t="str">
        <x:f>IF($C150="","",SUMIFS('Input_OL'!$G$4:$G$200,'Input_OL'!$C$4:$C$200,C150,'Input_OL'!$F$4:$F$200,B150))</x:f>
      </x:c>
      <x:c r="P150" s="75" t="str">
        <x:f>IF($C150="","",IF(N150=0,"확인필요",IF(ABS(M150-N150)/N150&lt;=0.2,"정상","Rule초과")))</x:f>
      </x:c>
      <x:c r="Q150" s="75" t="str">
        <x:f>IF($C150="","",IF(O150=0,"확인필요",IF(ABS(M150-O150)/O150&lt;=0.3,"정상","Rule초과")))</x:f>
      </x:c>
      <x:c r="R150" s="75" t="str">
        <x:f>IF($C150="","",M150)</x:f>
      </x:c>
      <x:c r="S150" s="75" t="str">
        <x:f>IF($C150="","",R150*SUMIFS('Master_Rules'!$J$4:$J$200,'Master_Rules'!$D$4:$D$200,C150))</x:f>
      </x:c>
      <x:c r="T150" s="72" t="str">
        <x:f>IF($C150="","",IF(OR(P150="Rule초과",Q150="Rule초과"),"Flex 확인",IF(R150&gt;J150,"MOQ 조정","정상")))</x:f>
      </x:c>
    </x:row>
    <x:row r="151">
      <x:c r="A151" s="71"/>
      <x:c r="B151" s="71"/>
      <x:c r="C151" s="72"/>
      <x:c r="D151" s="72"/>
      <x:c r="E151" s="72"/>
      <x:c r="F151" s="75" t="str">
        <x:f>IF($C151="","",SUMIFS('Input_OL'!$K$4:$K$200,'Input_OL'!$C$4:$C$200,C151,'Input_OL'!$F$4:$F$200,B151))</x:f>
      </x:c>
      <x:c r="G151" s="75" t="str">
        <x:f>IF($C151="","",SUMIFS('Input_Inventory'!$G$4:$G$200,'Input_Inventory'!$C$4:$C$200,C151))</x:f>
      </x:c>
      <x:c r="H151" s="75" t="str">
        <x:f>IF($C151="","",SUMIFS('Input_Inventory'!$L$4:$L$200,'Input_Inventory'!$C$4:$C$200,C151,'Input_Inventory'!$F$4:$F$200,B151))</x:f>
      </x:c>
      <x:c r="I151" s="75" t="str">
        <x:f>IF($C151="","",G151+H151)</x:f>
      </x:c>
      <x:c r="J151" s="75" t="str">
        <x:f>IF($C151="","",MAX(0,F151-I151))</x:f>
      </x:c>
      <x:c r="K151" s="75" t="str">
        <x:f>IF($C151="","",SUMIFS('Master_Rules'!$G$4:$G$200,'Master_Rules'!$D$4:$D$200,C151))</x:f>
      </x:c>
      <x:c r="L151" s="75" t="str">
        <x:f>IF($C151="","",SUMIFS('Master_Rules'!$H$4:$H$200,'Master_Rules'!$D$4:$D$200,C151))</x:f>
      </x:c>
      <x:c r="M151" s="75" t="str">
        <x:f>IF($C151="","",IF(K151=0,J151,MAX(K151,CEILING(J151,L151))))</x:f>
      </x:c>
      <x:c r="N151" s="75" t="str">
        <x:f>IF($C151="","",SUMIFS('Input_OL'!$G$4:$G$200,'Input_OL'!$C$4:$C$200,C151,'Input_OL'!$F$4:$F$200,B151))</x:f>
      </x:c>
      <x:c r="O151" s="75" t="str">
        <x:f>IF($C151="","",SUMIFS('Input_OL'!$G$4:$G$200,'Input_OL'!$C$4:$C$200,C151,'Input_OL'!$F$4:$F$200,B151))</x:f>
      </x:c>
      <x:c r="P151" s="75" t="str">
        <x:f>IF($C151="","",IF(N151=0,"확인필요",IF(ABS(M151-N151)/N151&lt;=0.2,"정상","Rule초과")))</x:f>
      </x:c>
      <x:c r="Q151" s="75" t="str">
        <x:f>IF($C151="","",IF(O151=0,"확인필요",IF(ABS(M151-O151)/O151&lt;=0.3,"정상","Rule초과")))</x:f>
      </x:c>
      <x:c r="R151" s="75" t="str">
        <x:f>IF($C151="","",M151)</x:f>
      </x:c>
      <x:c r="S151" s="75" t="str">
        <x:f>IF($C151="","",R151*SUMIFS('Master_Rules'!$J$4:$J$200,'Master_Rules'!$D$4:$D$200,C151))</x:f>
      </x:c>
      <x:c r="T151" s="72" t="str">
        <x:f>IF($C151="","",IF(OR(P151="Rule초과",Q151="Rule초과"),"Flex 확인",IF(R151&gt;J151,"MOQ 조정","정상")))</x:f>
      </x:c>
    </x:row>
    <x:row r="152">
      <x:c r="A152" s="71"/>
      <x:c r="B152" s="71"/>
      <x:c r="C152" s="72"/>
      <x:c r="D152" s="72"/>
      <x:c r="E152" s="72"/>
      <x:c r="F152" s="75" t="str">
        <x:f>IF($C152="","",SUMIFS('Input_OL'!$K$4:$K$200,'Input_OL'!$C$4:$C$200,C152,'Input_OL'!$F$4:$F$200,B152))</x:f>
      </x:c>
      <x:c r="G152" s="75" t="str">
        <x:f>IF($C152="","",SUMIFS('Input_Inventory'!$G$4:$G$200,'Input_Inventory'!$C$4:$C$200,C152))</x:f>
      </x:c>
      <x:c r="H152" s="75" t="str">
        <x:f>IF($C152="","",SUMIFS('Input_Inventory'!$L$4:$L$200,'Input_Inventory'!$C$4:$C$200,C152,'Input_Inventory'!$F$4:$F$200,B152))</x:f>
      </x:c>
      <x:c r="I152" s="75" t="str">
        <x:f>IF($C152="","",G152+H152)</x:f>
      </x:c>
      <x:c r="J152" s="75" t="str">
        <x:f>IF($C152="","",MAX(0,F152-I152))</x:f>
      </x:c>
      <x:c r="K152" s="75" t="str">
        <x:f>IF($C152="","",SUMIFS('Master_Rules'!$G$4:$G$200,'Master_Rules'!$D$4:$D$200,C152))</x:f>
      </x:c>
      <x:c r="L152" s="75" t="str">
        <x:f>IF($C152="","",SUMIFS('Master_Rules'!$H$4:$H$200,'Master_Rules'!$D$4:$D$200,C152))</x:f>
      </x:c>
      <x:c r="M152" s="75" t="str">
        <x:f>IF($C152="","",IF(K152=0,J152,MAX(K152,CEILING(J152,L152))))</x:f>
      </x:c>
      <x:c r="N152" s="75" t="str">
        <x:f>IF($C152="","",SUMIFS('Input_OL'!$G$4:$G$200,'Input_OL'!$C$4:$C$200,C152,'Input_OL'!$F$4:$F$200,B152))</x:f>
      </x:c>
      <x:c r="O152" s="75" t="str">
        <x:f>IF($C152="","",SUMIFS('Input_OL'!$G$4:$G$200,'Input_OL'!$C$4:$C$200,C152,'Input_OL'!$F$4:$F$200,B152))</x:f>
      </x:c>
      <x:c r="P152" s="75" t="str">
        <x:f>IF($C152="","",IF(N152=0,"확인필요",IF(ABS(M152-N152)/N152&lt;=0.2,"정상","Rule초과")))</x:f>
      </x:c>
      <x:c r="Q152" s="75" t="str">
        <x:f>IF($C152="","",IF(O152=0,"확인필요",IF(ABS(M152-O152)/O152&lt;=0.3,"정상","Rule초과")))</x:f>
      </x:c>
      <x:c r="R152" s="75" t="str">
        <x:f>IF($C152="","",M152)</x:f>
      </x:c>
      <x:c r="S152" s="75" t="str">
        <x:f>IF($C152="","",R152*SUMIFS('Master_Rules'!$J$4:$J$200,'Master_Rules'!$D$4:$D$200,C152))</x:f>
      </x:c>
      <x:c r="T152" s="72" t="str">
        <x:f>IF($C152="","",IF(OR(P152="Rule초과",Q152="Rule초과"),"Flex 확인",IF(R152&gt;J152,"MOQ 조정","정상")))</x:f>
      </x:c>
    </x:row>
    <x:row r="153">
      <x:c r="A153" s="71"/>
      <x:c r="B153" s="71"/>
      <x:c r="C153" s="72"/>
      <x:c r="D153" s="72"/>
      <x:c r="E153" s="72"/>
      <x:c r="F153" s="75" t="str">
        <x:f>IF($C153="","",SUMIFS('Input_OL'!$K$4:$K$200,'Input_OL'!$C$4:$C$200,C153,'Input_OL'!$F$4:$F$200,B153))</x:f>
      </x:c>
      <x:c r="G153" s="75" t="str">
        <x:f>IF($C153="","",SUMIFS('Input_Inventory'!$G$4:$G$200,'Input_Inventory'!$C$4:$C$200,C153))</x:f>
      </x:c>
      <x:c r="H153" s="75" t="str">
        <x:f>IF($C153="","",SUMIFS('Input_Inventory'!$L$4:$L$200,'Input_Inventory'!$C$4:$C$200,C153,'Input_Inventory'!$F$4:$F$200,B153))</x:f>
      </x:c>
      <x:c r="I153" s="75" t="str">
        <x:f>IF($C153="","",G153+H153)</x:f>
      </x:c>
      <x:c r="J153" s="75" t="str">
        <x:f>IF($C153="","",MAX(0,F153-I153))</x:f>
      </x:c>
      <x:c r="K153" s="75" t="str">
        <x:f>IF($C153="","",SUMIFS('Master_Rules'!$G$4:$G$200,'Master_Rules'!$D$4:$D$200,C153))</x:f>
      </x:c>
      <x:c r="L153" s="75" t="str">
        <x:f>IF($C153="","",SUMIFS('Master_Rules'!$H$4:$H$200,'Master_Rules'!$D$4:$D$200,C153))</x:f>
      </x:c>
      <x:c r="M153" s="75" t="str">
        <x:f>IF($C153="","",IF(K153=0,J153,MAX(K153,CEILING(J153,L153))))</x:f>
      </x:c>
      <x:c r="N153" s="75" t="str">
        <x:f>IF($C153="","",SUMIFS('Input_OL'!$G$4:$G$200,'Input_OL'!$C$4:$C$200,C153,'Input_OL'!$F$4:$F$200,B153))</x:f>
      </x:c>
      <x:c r="O153" s="75" t="str">
        <x:f>IF($C153="","",SUMIFS('Input_OL'!$G$4:$G$200,'Input_OL'!$C$4:$C$200,C153,'Input_OL'!$F$4:$F$200,B153))</x:f>
      </x:c>
      <x:c r="P153" s="75" t="str">
        <x:f>IF($C153="","",IF(N153=0,"확인필요",IF(ABS(M153-N153)/N153&lt;=0.2,"정상","Rule초과")))</x:f>
      </x:c>
      <x:c r="Q153" s="75" t="str">
        <x:f>IF($C153="","",IF(O153=0,"확인필요",IF(ABS(M153-O153)/O153&lt;=0.3,"정상","Rule초과")))</x:f>
      </x:c>
      <x:c r="R153" s="75" t="str">
        <x:f>IF($C153="","",M153)</x:f>
      </x:c>
      <x:c r="S153" s="75" t="str">
        <x:f>IF($C153="","",R153*SUMIFS('Master_Rules'!$J$4:$J$200,'Master_Rules'!$D$4:$D$200,C153))</x:f>
      </x:c>
      <x:c r="T153" s="72" t="str">
        <x:f>IF($C153="","",IF(OR(P153="Rule초과",Q153="Rule초과"),"Flex 확인",IF(R153&gt;J153,"MOQ 조정","정상")))</x:f>
      </x:c>
    </x:row>
    <x:row r="154">
      <x:c r="A154" s="71"/>
      <x:c r="B154" s="71"/>
      <x:c r="C154" s="72"/>
      <x:c r="D154" s="72"/>
      <x:c r="E154" s="72"/>
      <x:c r="F154" s="75" t="str">
        <x:f>IF($C154="","",SUMIFS('Input_OL'!$K$4:$K$200,'Input_OL'!$C$4:$C$200,C154,'Input_OL'!$F$4:$F$200,B154))</x:f>
      </x:c>
      <x:c r="G154" s="75" t="str">
        <x:f>IF($C154="","",SUMIFS('Input_Inventory'!$G$4:$G$200,'Input_Inventory'!$C$4:$C$200,C154))</x:f>
      </x:c>
      <x:c r="H154" s="75" t="str">
        <x:f>IF($C154="","",SUMIFS('Input_Inventory'!$L$4:$L$200,'Input_Inventory'!$C$4:$C$200,C154,'Input_Inventory'!$F$4:$F$200,B154))</x:f>
      </x:c>
      <x:c r="I154" s="75" t="str">
        <x:f>IF($C154="","",G154+H154)</x:f>
      </x:c>
      <x:c r="J154" s="75" t="str">
        <x:f>IF($C154="","",MAX(0,F154-I154))</x:f>
      </x:c>
      <x:c r="K154" s="75" t="str">
        <x:f>IF($C154="","",SUMIFS('Master_Rules'!$G$4:$G$200,'Master_Rules'!$D$4:$D$200,C154))</x:f>
      </x:c>
      <x:c r="L154" s="75" t="str">
        <x:f>IF($C154="","",SUMIFS('Master_Rules'!$H$4:$H$200,'Master_Rules'!$D$4:$D$200,C154))</x:f>
      </x:c>
      <x:c r="M154" s="75" t="str">
        <x:f>IF($C154="","",IF(K154=0,J154,MAX(K154,CEILING(J154,L154))))</x:f>
      </x:c>
      <x:c r="N154" s="75" t="str">
        <x:f>IF($C154="","",SUMIFS('Input_OL'!$G$4:$G$200,'Input_OL'!$C$4:$C$200,C154,'Input_OL'!$F$4:$F$200,B154))</x:f>
      </x:c>
      <x:c r="O154" s="75" t="str">
        <x:f>IF($C154="","",SUMIFS('Input_OL'!$G$4:$G$200,'Input_OL'!$C$4:$C$200,C154,'Input_OL'!$F$4:$F$200,B154))</x:f>
      </x:c>
      <x:c r="P154" s="75" t="str">
        <x:f>IF($C154="","",IF(N154=0,"확인필요",IF(ABS(M154-N154)/N154&lt;=0.2,"정상","Rule초과")))</x:f>
      </x:c>
      <x:c r="Q154" s="75" t="str">
        <x:f>IF($C154="","",IF(O154=0,"확인필요",IF(ABS(M154-O154)/O154&lt;=0.3,"정상","Rule초과")))</x:f>
      </x:c>
      <x:c r="R154" s="75" t="str">
        <x:f>IF($C154="","",M154)</x:f>
      </x:c>
      <x:c r="S154" s="75" t="str">
        <x:f>IF($C154="","",R154*SUMIFS('Master_Rules'!$J$4:$J$200,'Master_Rules'!$D$4:$D$200,C154))</x:f>
      </x:c>
      <x:c r="T154" s="72" t="str">
        <x:f>IF($C154="","",IF(OR(P154="Rule초과",Q154="Rule초과"),"Flex 확인",IF(R154&gt;J154,"MOQ 조정","정상")))</x:f>
      </x:c>
    </x:row>
    <x:row r="155">
      <x:c r="A155" s="71"/>
      <x:c r="B155" s="71"/>
      <x:c r="C155" s="72"/>
      <x:c r="D155" s="72"/>
      <x:c r="E155" s="72"/>
      <x:c r="F155" s="75" t="str">
        <x:f>IF($C155="","",SUMIFS('Input_OL'!$K$4:$K$200,'Input_OL'!$C$4:$C$200,C155,'Input_OL'!$F$4:$F$200,B155))</x:f>
      </x:c>
      <x:c r="G155" s="75" t="str">
        <x:f>IF($C155="","",SUMIFS('Input_Inventory'!$G$4:$G$200,'Input_Inventory'!$C$4:$C$200,C155))</x:f>
      </x:c>
      <x:c r="H155" s="75" t="str">
        <x:f>IF($C155="","",SUMIFS('Input_Inventory'!$L$4:$L$200,'Input_Inventory'!$C$4:$C$200,C155,'Input_Inventory'!$F$4:$F$200,B155))</x:f>
      </x:c>
      <x:c r="I155" s="75" t="str">
        <x:f>IF($C155="","",G155+H155)</x:f>
      </x:c>
      <x:c r="J155" s="75" t="str">
        <x:f>IF($C155="","",MAX(0,F155-I155))</x:f>
      </x:c>
      <x:c r="K155" s="75" t="str">
        <x:f>IF($C155="","",SUMIFS('Master_Rules'!$G$4:$G$200,'Master_Rules'!$D$4:$D$200,C155))</x:f>
      </x:c>
      <x:c r="L155" s="75" t="str">
        <x:f>IF($C155="","",SUMIFS('Master_Rules'!$H$4:$H$200,'Master_Rules'!$D$4:$D$200,C155))</x:f>
      </x:c>
      <x:c r="M155" s="75" t="str">
        <x:f>IF($C155="","",IF(K155=0,J155,MAX(K155,CEILING(J155,L155))))</x:f>
      </x:c>
      <x:c r="N155" s="75" t="str">
        <x:f>IF($C155="","",SUMIFS('Input_OL'!$G$4:$G$200,'Input_OL'!$C$4:$C$200,C155,'Input_OL'!$F$4:$F$200,B155))</x:f>
      </x:c>
      <x:c r="O155" s="75" t="str">
        <x:f>IF($C155="","",SUMIFS('Input_OL'!$G$4:$G$200,'Input_OL'!$C$4:$C$200,C155,'Input_OL'!$F$4:$F$200,B155))</x:f>
      </x:c>
      <x:c r="P155" s="75" t="str">
        <x:f>IF($C155="","",IF(N155=0,"확인필요",IF(ABS(M155-N155)/N155&lt;=0.2,"정상","Rule초과")))</x:f>
      </x:c>
      <x:c r="Q155" s="75" t="str">
        <x:f>IF($C155="","",IF(O155=0,"확인필요",IF(ABS(M155-O155)/O155&lt;=0.3,"정상","Rule초과")))</x:f>
      </x:c>
      <x:c r="R155" s="75" t="str">
        <x:f>IF($C155="","",M155)</x:f>
      </x:c>
      <x:c r="S155" s="75" t="str">
        <x:f>IF($C155="","",R155*SUMIFS('Master_Rules'!$J$4:$J$200,'Master_Rules'!$D$4:$D$200,C155))</x:f>
      </x:c>
      <x:c r="T155" s="72" t="str">
        <x:f>IF($C155="","",IF(OR(P155="Rule초과",Q155="Rule초과"),"Flex 확인",IF(R155&gt;J155,"MOQ 조정","정상")))</x:f>
      </x:c>
    </x:row>
    <x:row r="156">
      <x:c r="A156" s="71"/>
      <x:c r="B156" s="71"/>
      <x:c r="C156" s="72"/>
      <x:c r="D156" s="72"/>
      <x:c r="E156" s="72"/>
      <x:c r="F156" s="75" t="str">
        <x:f>IF($C156="","",SUMIFS('Input_OL'!$K$4:$K$200,'Input_OL'!$C$4:$C$200,C156,'Input_OL'!$F$4:$F$200,B156))</x:f>
      </x:c>
      <x:c r="G156" s="75" t="str">
        <x:f>IF($C156="","",SUMIFS('Input_Inventory'!$G$4:$G$200,'Input_Inventory'!$C$4:$C$200,C156))</x:f>
      </x:c>
      <x:c r="H156" s="75" t="str">
        <x:f>IF($C156="","",SUMIFS('Input_Inventory'!$L$4:$L$200,'Input_Inventory'!$C$4:$C$200,C156,'Input_Inventory'!$F$4:$F$200,B156))</x:f>
      </x:c>
      <x:c r="I156" s="75" t="str">
        <x:f>IF($C156="","",G156+H156)</x:f>
      </x:c>
      <x:c r="J156" s="75" t="str">
        <x:f>IF($C156="","",MAX(0,F156-I156))</x:f>
      </x:c>
      <x:c r="K156" s="75" t="str">
        <x:f>IF($C156="","",SUMIFS('Master_Rules'!$G$4:$G$200,'Master_Rules'!$D$4:$D$200,C156))</x:f>
      </x:c>
      <x:c r="L156" s="75" t="str">
        <x:f>IF($C156="","",SUMIFS('Master_Rules'!$H$4:$H$200,'Master_Rules'!$D$4:$D$200,C156))</x:f>
      </x:c>
      <x:c r="M156" s="75" t="str">
        <x:f>IF($C156="","",IF(K156=0,J156,MAX(K156,CEILING(J156,L156))))</x:f>
      </x:c>
      <x:c r="N156" s="75" t="str">
        <x:f>IF($C156="","",SUMIFS('Input_OL'!$G$4:$G$200,'Input_OL'!$C$4:$C$200,C156,'Input_OL'!$F$4:$F$200,B156))</x:f>
      </x:c>
      <x:c r="O156" s="75" t="str">
        <x:f>IF($C156="","",SUMIFS('Input_OL'!$G$4:$G$200,'Input_OL'!$C$4:$C$200,C156,'Input_OL'!$F$4:$F$200,B156))</x:f>
      </x:c>
      <x:c r="P156" s="75" t="str">
        <x:f>IF($C156="","",IF(N156=0,"확인필요",IF(ABS(M156-N156)/N156&lt;=0.2,"정상","Rule초과")))</x:f>
      </x:c>
      <x:c r="Q156" s="75" t="str">
        <x:f>IF($C156="","",IF(O156=0,"확인필요",IF(ABS(M156-O156)/O156&lt;=0.3,"정상","Rule초과")))</x:f>
      </x:c>
      <x:c r="R156" s="75" t="str">
        <x:f>IF($C156="","",M156)</x:f>
      </x:c>
      <x:c r="S156" s="75" t="str">
        <x:f>IF($C156="","",R156*SUMIFS('Master_Rules'!$J$4:$J$200,'Master_Rules'!$D$4:$D$200,C156))</x:f>
      </x:c>
      <x:c r="T156" s="72" t="str">
        <x:f>IF($C156="","",IF(OR(P156="Rule초과",Q156="Rule초과"),"Flex 확인",IF(R156&gt;J156,"MOQ 조정","정상")))</x:f>
      </x:c>
    </x:row>
    <x:row r="157">
      <x:c r="A157" s="71"/>
      <x:c r="B157" s="71"/>
      <x:c r="C157" s="72"/>
      <x:c r="D157" s="72"/>
      <x:c r="E157" s="72"/>
      <x:c r="F157" s="75" t="str">
        <x:f>IF($C157="","",SUMIFS('Input_OL'!$K$4:$K$200,'Input_OL'!$C$4:$C$200,C157,'Input_OL'!$F$4:$F$200,B157))</x:f>
      </x:c>
      <x:c r="G157" s="75" t="str">
        <x:f>IF($C157="","",SUMIFS('Input_Inventory'!$G$4:$G$200,'Input_Inventory'!$C$4:$C$200,C157))</x:f>
      </x:c>
      <x:c r="H157" s="75" t="str">
        <x:f>IF($C157="","",SUMIFS('Input_Inventory'!$L$4:$L$200,'Input_Inventory'!$C$4:$C$200,C157,'Input_Inventory'!$F$4:$F$200,B157))</x:f>
      </x:c>
      <x:c r="I157" s="75" t="str">
        <x:f>IF($C157="","",G157+H157)</x:f>
      </x:c>
      <x:c r="J157" s="75" t="str">
        <x:f>IF($C157="","",MAX(0,F157-I157))</x:f>
      </x:c>
      <x:c r="K157" s="75" t="str">
        <x:f>IF($C157="","",SUMIFS('Master_Rules'!$G$4:$G$200,'Master_Rules'!$D$4:$D$200,C157))</x:f>
      </x:c>
      <x:c r="L157" s="75" t="str">
        <x:f>IF($C157="","",SUMIFS('Master_Rules'!$H$4:$H$200,'Master_Rules'!$D$4:$D$200,C157))</x:f>
      </x:c>
      <x:c r="M157" s="75" t="str">
        <x:f>IF($C157="","",IF(K157=0,J157,MAX(K157,CEILING(J157,L157))))</x:f>
      </x:c>
      <x:c r="N157" s="75" t="str">
        <x:f>IF($C157="","",SUMIFS('Input_OL'!$G$4:$G$200,'Input_OL'!$C$4:$C$200,C157,'Input_OL'!$F$4:$F$200,B157))</x:f>
      </x:c>
      <x:c r="O157" s="75" t="str">
        <x:f>IF($C157="","",SUMIFS('Input_OL'!$G$4:$G$200,'Input_OL'!$C$4:$C$200,C157,'Input_OL'!$F$4:$F$200,B157))</x:f>
      </x:c>
      <x:c r="P157" s="75" t="str">
        <x:f>IF($C157="","",IF(N157=0,"확인필요",IF(ABS(M157-N157)/N157&lt;=0.2,"정상","Rule초과")))</x:f>
      </x:c>
      <x:c r="Q157" s="75" t="str">
        <x:f>IF($C157="","",IF(O157=0,"확인필요",IF(ABS(M157-O157)/O157&lt;=0.3,"정상","Rule초과")))</x:f>
      </x:c>
      <x:c r="R157" s="75" t="str">
        <x:f>IF($C157="","",M157)</x:f>
      </x:c>
      <x:c r="S157" s="75" t="str">
        <x:f>IF($C157="","",R157*SUMIFS('Master_Rules'!$J$4:$J$200,'Master_Rules'!$D$4:$D$200,C157))</x:f>
      </x:c>
      <x:c r="T157" s="72" t="str">
        <x:f>IF($C157="","",IF(OR(P157="Rule초과",Q157="Rule초과"),"Flex 확인",IF(R157&gt;J157,"MOQ 조정","정상")))</x:f>
      </x:c>
    </x:row>
    <x:row r="158">
      <x:c r="A158" s="71"/>
      <x:c r="B158" s="71"/>
      <x:c r="C158" s="72"/>
      <x:c r="D158" s="72"/>
      <x:c r="E158" s="72"/>
      <x:c r="F158" s="75" t="str">
        <x:f>IF($C158="","",SUMIFS('Input_OL'!$K$4:$K$200,'Input_OL'!$C$4:$C$200,C158,'Input_OL'!$F$4:$F$200,B158))</x:f>
      </x:c>
      <x:c r="G158" s="75" t="str">
        <x:f>IF($C158="","",SUMIFS('Input_Inventory'!$G$4:$G$200,'Input_Inventory'!$C$4:$C$200,C158))</x:f>
      </x:c>
      <x:c r="H158" s="75" t="str">
        <x:f>IF($C158="","",SUMIFS('Input_Inventory'!$L$4:$L$200,'Input_Inventory'!$C$4:$C$200,C158,'Input_Inventory'!$F$4:$F$200,B158))</x:f>
      </x:c>
      <x:c r="I158" s="75" t="str">
        <x:f>IF($C158="","",G158+H158)</x:f>
      </x:c>
      <x:c r="J158" s="75" t="str">
        <x:f>IF($C158="","",MAX(0,F158-I158))</x:f>
      </x:c>
      <x:c r="K158" s="75" t="str">
        <x:f>IF($C158="","",SUMIFS('Master_Rules'!$G$4:$G$200,'Master_Rules'!$D$4:$D$200,C158))</x:f>
      </x:c>
      <x:c r="L158" s="75" t="str">
        <x:f>IF($C158="","",SUMIFS('Master_Rules'!$H$4:$H$200,'Master_Rules'!$D$4:$D$200,C158))</x:f>
      </x:c>
      <x:c r="M158" s="75" t="str">
        <x:f>IF($C158="","",IF(K158=0,J158,MAX(K158,CEILING(J158,L158))))</x:f>
      </x:c>
      <x:c r="N158" s="75" t="str">
        <x:f>IF($C158="","",SUMIFS('Input_OL'!$G$4:$G$200,'Input_OL'!$C$4:$C$200,C158,'Input_OL'!$F$4:$F$200,B158))</x:f>
      </x:c>
      <x:c r="O158" s="75" t="str">
        <x:f>IF($C158="","",SUMIFS('Input_OL'!$G$4:$G$200,'Input_OL'!$C$4:$C$200,C158,'Input_OL'!$F$4:$F$200,B158))</x:f>
      </x:c>
      <x:c r="P158" s="75" t="str">
        <x:f>IF($C158="","",IF(N158=0,"확인필요",IF(ABS(M158-N158)/N158&lt;=0.2,"정상","Rule초과")))</x:f>
      </x:c>
      <x:c r="Q158" s="75" t="str">
        <x:f>IF($C158="","",IF(O158=0,"확인필요",IF(ABS(M158-O158)/O158&lt;=0.3,"정상","Rule초과")))</x:f>
      </x:c>
      <x:c r="R158" s="75" t="str">
        <x:f>IF($C158="","",M158)</x:f>
      </x:c>
      <x:c r="S158" s="75" t="str">
        <x:f>IF($C158="","",R158*SUMIFS('Master_Rules'!$J$4:$J$200,'Master_Rules'!$D$4:$D$200,C158))</x:f>
      </x:c>
      <x:c r="T158" s="72" t="str">
        <x:f>IF($C158="","",IF(OR(P158="Rule초과",Q158="Rule초과"),"Flex 확인",IF(R158&gt;J158,"MOQ 조정","정상")))</x:f>
      </x:c>
    </x:row>
    <x:row r="159">
      <x:c r="A159" s="71"/>
      <x:c r="B159" s="71"/>
      <x:c r="C159" s="72"/>
      <x:c r="D159" s="72"/>
      <x:c r="E159" s="72"/>
      <x:c r="F159" s="75" t="str">
        <x:f>IF($C159="","",SUMIFS('Input_OL'!$K$4:$K$200,'Input_OL'!$C$4:$C$200,C159,'Input_OL'!$F$4:$F$200,B159))</x:f>
      </x:c>
      <x:c r="G159" s="75" t="str">
        <x:f>IF($C159="","",SUMIFS('Input_Inventory'!$G$4:$G$200,'Input_Inventory'!$C$4:$C$200,C159))</x:f>
      </x:c>
      <x:c r="H159" s="75" t="str">
        <x:f>IF($C159="","",SUMIFS('Input_Inventory'!$L$4:$L$200,'Input_Inventory'!$C$4:$C$200,C159,'Input_Inventory'!$F$4:$F$200,B159))</x:f>
      </x:c>
      <x:c r="I159" s="75" t="str">
        <x:f>IF($C159="","",G159+H159)</x:f>
      </x:c>
      <x:c r="J159" s="75" t="str">
        <x:f>IF($C159="","",MAX(0,F159-I159))</x:f>
      </x:c>
      <x:c r="K159" s="75" t="str">
        <x:f>IF($C159="","",SUMIFS('Master_Rules'!$G$4:$G$200,'Master_Rules'!$D$4:$D$200,C159))</x:f>
      </x:c>
      <x:c r="L159" s="75" t="str">
        <x:f>IF($C159="","",SUMIFS('Master_Rules'!$H$4:$H$200,'Master_Rules'!$D$4:$D$200,C159))</x:f>
      </x:c>
      <x:c r="M159" s="75" t="str">
        <x:f>IF($C159="","",IF(K159=0,J159,MAX(K159,CEILING(J159,L159))))</x:f>
      </x:c>
      <x:c r="N159" s="75" t="str">
        <x:f>IF($C159="","",SUMIFS('Input_OL'!$G$4:$G$200,'Input_OL'!$C$4:$C$200,C159,'Input_OL'!$F$4:$F$200,B159))</x:f>
      </x:c>
      <x:c r="O159" s="75" t="str">
        <x:f>IF($C159="","",SUMIFS('Input_OL'!$G$4:$G$200,'Input_OL'!$C$4:$C$200,C159,'Input_OL'!$F$4:$F$200,B159))</x:f>
      </x:c>
      <x:c r="P159" s="75" t="str">
        <x:f>IF($C159="","",IF(N159=0,"확인필요",IF(ABS(M159-N159)/N159&lt;=0.2,"정상","Rule초과")))</x:f>
      </x:c>
      <x:c r="Q159" s="75" t="str">
        <x:f>IF($C159="","",IF(O159=0,"확인필요",IF(ABS(M159-O159)/O159&lt;=0.3,"정상","Rule초과")))</x:f>
      </x:c>
      <x:c r="R159" s="75" t="str">
        <x:f>IF($C159="","",M159)</x:f>
      </x:c>
      <x:c r="S159" s="75" t="str">
        <x:f>IF($C159="","",R159*SUMIFS('Master_Rules'!$J$4:$J$200,'Master_Rules'!$D$4:$D$200,C159))</x:f>
      </x:c>
      <x:c r="T159" s="72" t="str">
        <x:f>IF($C159="","",IF(OR(P159="Rule초과",Q159="Rule초과"),"Flex 확인",IF(R159&gt;J159,"MOQ 조정","정상")))</x:f>
      </x:c>
    </x:row>
    <x:row r="160">
      <x:c r="A160" s="71"/>
      <x:c r="B160" s="71"/>
      <x:c r="C160" s="72"/>
      <x:c r="D160" s="72"/>
      <x:c r="E160" s="72"/>
      <x:c r="F160" s="75" t="str">
        <x:f>IF($C160="","",SUMIFS('Input_OL'!$K$4:$K$200,'Input_OL'!$C$4:$C$200,C160,'Input_OL'!$F$4:$F$200,B160))</x:f>
      </x:c>
      <x:c r="G160" s="75" t="str">
        <x:f>IF($C160="","",SUMIFS('Input_Inventory'!$G$4:$G$200,'Input_Inventory'!$C$4:$C$200,C160))</x:f>
      </x:c>
      <x:c r="H160" s="75" t="str">
        <x:f>IF($C160="","",SUMIFS('Input_Inventory'!$L$4:$L$200,'Input_Inventory'!$C$4:$C$200,C160,'Input_Inventory'!$F$4:$F$200,B160))</x:f>
      </x:c>
      <x:c r="I160" s="75" t="str">
        <x:f>IF($C160="","",G160+H160)</x:f>
      </x:c>
      <x:c r="J160" s="75" t="str">
        <x:f>IF($C160="","",MAX(0,F160-I160))</x:f>
      </x:c>
      <x:c r="K160" s="75" t="str">
        <x:f>IF($C160="","",SUMIFS('Master_Rules'!$G$4:$G$200,'Master_Rules'!$D$4:$D$200,C160))</x:f>
      </x:c>
      <x:c r="L160" s="75" t="str">
        <x:f>IF($C160="","",SUMIFS('Master_Rules'!$H$4:$H$200,'Master_Rules'!$D$4:$D$200,C160))</x:f>
      </x:c>
      <x:c r="M160" s="75" t="str">
        <x:f>IF($C160="","",IF(K160=0,J160,MAX(K160,CEILING(J160,L160))))</x:f>
      </x:c>
      <x:c r="N160" s="75" t="str">
        <x:f>IF($C160="","",SUMIFS('Input_OL'!$G$4:$G$200,'Input_OL'!$C$4:$C$200,C160,'Input_OL'!$F$4:$F$200,B160))</x:f>
      </x:c>
      <x:c r="O160" s="75" t="str">
        <x:f>IF($C160="","",SUMIFS('Input_OL'!$G$4:$G$200,'Input_OL'!$C$4:$C$200,C160,'Input_OL'!$F$4:$F$200,B160))</x:f>
      </x:c>
      <x:c r="P160" s="75" t="str">
        <x:f>IF($C160="","",IF(N160=0,"확인필요",IF(ABS(M160-N160)/N160&lt;=0.2,"정상","Rule초과")))</x:f>
      </x:c>
      <x:c r="Q160" s="75" t="str">
        <x:f>IF($C160="","",IF(O160=0,"확인필요",IF(ABS(M160-O160)/O160&lt;=0.3,"정상","Rule초과")))</x:f>
      </x:c>
      <x:c r="R160" s="75" t="str">
        <x:f>IF($C160="","",M160)</x:f>
      </x:c>
      <x:c r="S160" s="75" t="str">
        <x:f>IF($C160="","",R160*SUMIFS('Master_Rules'!$J$4:$J$200,'Master_Rules'!$D$4:$D$200,C160))</x:f>
      </x:c>
      <x:c r="T160" s="72" t="str">
        <x:f>IF($C160="","",IF(OR(P160="Rule초과",Q160="Rule초과"),"Flex 확인",IF(R160&gt;J160,"MOQ 조정","정상")))</x:f>
      </x:c>
    </x:row>
    <x:row r="161">
      <x:c r="A161" s="71"/>
      <x:c r="B161" s="71"/>
      <x:c r="C161" s="72"/>
      <x:c r="D161" s="72"/>
      <x:c r="E161" s="72"/>
      <x:c r="F161" s="75" t="str">
        <x:f>IF($C161="","",SUMIFS('Input_OL'!$K$4:$K$200,'Input_OL'!$C$4:$C$200,C161,'Input_OL'!$F$4:$F$200,B161))</x:f>
      </x:c>
      <x:c r="G161" s="75" t="str">
        <x:f>IF($C161="","",SUMIFS('Input_Inventory'!$G$4:$G$200,'Input_Inventory'!$C$4:$C$200,C161))</x:f>
      </x:c>
      <x:c r="H161" s="75" t="str">
        <x:f>IF($C161="","",SUMIFS('Input_Inventory'!$L$4:$L$200,'Input_Inventory'!$C$4:$C$200,C161,'Input_Inventory'!$F$4:$F$200,B161))</x:f>
      </x:c>
      <x:c r="I161" s="75" t="str">
        <x:f>IF($C161="","",G161+H161)</x:f>
      </x:c>
      <x:c r="J161" s="75" t="str">
        <x:f>IF($C161="","",MAX(0,F161-I161))</x:f>
      </x:c>
      <x:c r="K161" s="75" t="str">
        <x:f>IF($C161="","",SUMIFS('Master_Rules'!$G$4:$G$200,'Master_Rules'!$D$4:$D$200,C161))</x:f>
      </x:c>
      <x:c r="L161" s="75" t="str">
        <x:f>IF($C161="","",SUMIFS('Master_Rules'!$H$4:$H$200,'Master_Rules'!$D$4:$D$200,C161))</x:f>
      </x:c>
      <x:c r="M161" s="75" t="str">
        <x:f>IF($C161="","",IF(K161=0,J161,MAX(K161,CEILING(J161,L161))))</x:f>
      </x:c>
      <x:c r="N161" s="75" t="str">
        <x:f>IF($C161="","",SUMIFS('Input_OL'!$G$4:$G$200,'Input_OL'!$C$4:$C$200,C161,'Input_OL'!$F$4:$F$200,B161))</x:f>
      </x:c>
      <x:c r="O161" s="75" t="str">
        <x:f>IF($C161="","",SUMIFS('Input_OL'!$G$4:$G$200,'Input_OL'!$C$4:$C$200,C161,'Input_OL'!$F$4:$F$200,B161))</x:f>
      </x:c>
      <x:c r="P161" s="75" t="str">
        <x:f>IF($C161="","",IF(N161=0,"확인필요",IF(ABS(M161-N161)/N161&lt;=0.2,"정상","Rule초과")))</x:f>
      </x:c>
      <x:c r="Q161" s="75" t="str">
        <x:f>IF($C161="","",IF(O161=0,"확인필요",IF(ABS(M161-O161)/O161&lt;=0.3,"정상","Rule초과")))</x:f>
      </x:c>
      <x:c r="R161" s="75" t="str">
        <x:f>IF($C161="","",M161)</x:f>
      </x:c>
      <x:c r="S161" s="75" t="str">
        <x:f>IF($C161="","",R161*SUMIFS('Master_Rules'!$J$4:$J$200,'Master_Rules'!$D$4:$D$200,C161))</x:f>
      </x:c>
      <x:c r="T161" s="72" t="str">
        <x:f>IF($C161="","",IF(OR(P161="Rule초과",Q161="Rule초과"),"Flex 확인",IF(R161&gt;J161,"MOQ 조정","정상")))</x:f>
      </x:c>
    </x:row>
    <x:row r="162">
      <x:c r="A162" s="71"/>
      <x:c r="B162" s="71"/>
      <x:c r="C162" s="72"/>
      <x:c r="D162" s="72"/>
      <x:c r="E162" s="72"/>
      <x:c r="F162" s="75" t="str">
        <x:f>IF($C162="","",SUMIFS('Input_OL'!$K$4:$K$200,'Input_OL'!$C$4:$C$200,C162,'Input_OL'!$F$4:$F$200,B162))</x:f>
      </x:c>
      <x:c r="G162" s="75" t="str">
        <x:f>IF($C162="","",SUMIFS('Input_Inventory'!$G$4:$G$200,'Input_Inventory'!$C$4:$C$200,C162))</x:f>
      </x:c>
      <x:c r="H162" s="75" t="str">
        <x:f>IF($C162="","",SUMIFS('Input_Inventory'!$L$4:$L$200,'Input_Inventory'!$C$4:$C$200,C162,'Input_Inventory'!$F$4:$F$200,B162))</x:f>
      </x:c>
      <x:c r="I162" s="75" t="str">
        <x:f>IF($C162="","",G162+H162)</x:f>
      </x:c>
      <x:c r="J162" s="75" t="str">
        <x:f>IF($C162="","",MAX(0,F162-I162))</x:f>
      </x:c>
      <x:c r="K162" s="75" t="str">
        <x:f>IF($C162="","",SUMIFS('Master_Rules'!$G$4:$G$200,'Master_Rules'!$D$4:$D$200,C162))</x:f>
      </x:c>
      <x:c r="L162" s="75" t="str">
        <x:f>IF($C162="","",SUMIFS('Master_Rules'!$H$4:$H$200,'Master_Rules'!$D$4:$D$200,C162))</x:f>
      </x:c>
      <x:c r="M162" s="75" t="str">
        <x:f>IF($C162="","",IF(K162=0,J162,MAX(K162,CEILING(J162,L162))))</x:f>
      </x:c>
      <x:c r="N162" s="75" t="str">
        <x:f>IF($C162="","",SUMIFS('Input_OL'!$G$4:$G$200,'Input_OL'!$C$4:$C$200,C162,'Input_OL'!$F$4:$F$200,B162))</x:f>
      </x:c>
      <x:c r="O162" s="75" t="str">
        <x:f>IF($C162="","",SUMIFS('Input_OL'!$G$4:$G$200,'Input_OL'!$C$4:$C$200,C162,'Input_OL'!$F$4:$F$200,B162))</x:f>
      </x:c>
      <x:c r="P162" s="75" t="str">
        <x:f>IF($C162="","",IF(N162=0,"확인필요",IF(ABS(M162-N162)/N162&lt;=0.2,"정상","Rule초과")))</x:f>
      </x:c>
      <x:c r="Q162" s="75" t="str">
        <x:f>IF($C162="","",IF(O162=0,"확인필요",IF(ABS(M162-O162)/O162&lt;=0.3,"정상","Rule초과")))</x:f>
      </x:c>
      <x:c r="R162" s="75" t="str">
        <x:f>IF($C162="","",M162)</x:f>
      </x:c>
      <x:c r="S162" s="75" t="str">
        <x:f>IF($C162="","",R162*SUMIFS('Master_Rules'!$J$4:$J$200,'Master_Rules'!$D$4:$D$200,C162))</x:f>
      </x:c>
      <x:c r="T162" s="72" t="str">
        <x:f>IF($C162="","",IF(OR(P162="Rule초과",Q162="Rule초과"),"Flex 확인",IF(R162&gt;J162,"MOQ 조정","정상")))</x:f>
      </x:c>
    </x:row>
    <x:row r="163">
      <x:c r="A163" s="71"/>
      <x:c r="B163" s="71"/>
      <x:c r="C163" s="72"/>
      <x:c r="D163" s="72"/>
      <x:c r="E163" s="72"/>
      <x:c r="F163" s="75" t="str">
        <x:f>IF($C163="","",SUMIFS('Input_OL'!$K$4:$K$200,'Input_OL'!$C$4:$C$200,C163,'Input_OL'!$F$4:$F$200,B163))</x:f>
      </x:c>
      <x:c r="G163" s="75" t="str">
        <x:f>IF($C163="","",SUMIFS('Input_Inventory'!$G$4:$G$200,'Input_Inventory'!$C$4:$C$200,C163))</x:f>
      </x:c>
      <x:c r="H163" s="75" t="str">
        <x:f>IF($C163="","",SUMIFS('Input_Inventory'!$L$4:$L$200,'Input_Inventory'!$C$4:$C$200,C163,'Input_Inventory'!$F$4:$F$200,B163))</x:f>
      </x:c>
      <x:c r="I163" s="75" t="str">
        <x:f>IF($C163="","",G163+H163)</x:f>
      </x:c>
      <x:c r="J163" s="75" t="str">
        <x:f>IF($C163="","",MAX(0,F163-I163))</x:f>
      </x:c>
      <x:c r="K163" s="75" t="str">
        <x:f>IF($C163="","",SUMIFS('Master_Rules'!$G$4:$G$200,'Master_Rules'!$D$4:$D$200,C163))</x:f>
      </x:c>
      <x:c r="L163" s="75" t="str">
        <x:f>IF($C163="","",SUMIFS('Master_Rules'!$H$4:$H$200,'Master_Rules'!$D$4:$D$200,C163))</x:f>
      </x:c>
      <x:c r="M163" s="75" t="str">
        <x:f>IF($C163="","",IF(K163=0,J163,MAX(K163,CEILING(J163,L163))))</x:f>
      </x:c>
      <x:c r="N163" s="75" t="str">
        <x:f>IF($C163="","",SUMIFS('Input_OL'!$G$4:$G$200,'Input_OL'!$C$4:$C$200,C163,'Input_OL'!$F$4:$F$200,B163))</x:f>
      </x:c>
      <x:c r="O163" s="75" t="str">
        <x:f>IF($C163="","",SUMIFS('Input_OL'!$G$4:$G$200,'Input_OL'!$C$4:$C$200,C163,'Input_OL'!$F$4:$F$200,B163))</x:f>
      </x:c>
      <x:c r="P163" s="75" t="str">
        <x:f>IF($C163="","",IF(N163=0,"확인필요",IF(ABS(M163-N163)/N163&lt;=0.2,"정상","Rule초과")))</x:f>
      </x:c>
      <x:c r="Q163" s="75" t="str">
        <x:f>IF($C163="","",IF(O163=0,"확인필요",IF(ABS(M163-O163)/O163&lt;=0.3,"정상","Rule초과")))</x:f>
      </x:c>
      <x:c r="R163" s="75" t="str">
        <x:f>IF($C163="","",M163)</x:f>
      </x:c>
      <x:c r="S163" s="75" t="str">
        <x:f>IF($C163="","",R163*SUMIFS('Master_Rules'!$J$4:$J$200,'Master_Rules'!$D$4:$D$200,C163))</x:f>
      </x:c>
      <x:c r="T163" s="72" t="str">
        <x:f>IF($C163="","",IF(OR(P163="Rule초과",Q163="Rule초과"),"Flex 확인",IF(R163&gt;J163,"MOQ 조정","정상")))</x:f>
      </x:c>
    </x:row>
    <x:row r="164">
      <x:c r="A164" s="71"/>
      <x:c r="B164" s="71"/>
      <x:c r="C164" s="72"/>
      <x:c r="D164" s="72"/>
      <x:c r="E164" s="72"/>
      <x:c r="F164" s="75" t="str">
        <x:f>IF($C164="","",SUMIFS('Input_OL'!$K$4:$K$200,'Input_OL'!$C$4:$C$200,C164,'Input_OL'!$F$4:$F$200,B164))</x:f>
      </x:c>
      <x:c r="G164" s="75" t="str">
        <x:f>IF($C164="","",SUMIFS('Input_Inventory'!$G$4:$G$200,'Input_Inventory'!$C$4:$C$200,C164))</x:f>
      </x:c>
      <x:c r="H164" s="75" t="str">
        <x:f>IF($C164="","",SUMIFS('Input_Inventory'!$L$4:$L$200,'Input_Inventory'!$C$4:$C$200,C164,'Input_Inventory'!$F$4:$F$200,B164))</x:f>
      </x:c>
      <x:c r="I164" s="75" t="str">
        <x:f>IF($C164="","",G164+H164)</x:f>
      </x:c>
      <x:c r="J164" s="75" t="str">
        <x:f>IF($C164="","",MAX(0,F164-I164))</x:f>
      </x:c>
      <x:c r="K164" s="75" t="str">
        <x:f>IF($C164="","",SUMIFS('Master_Rules'!$G$4:$G$200,'Master_Rules'!$D$4:$D$200,C164))</x:f>
      </x:c>
      <x:c r="L164" s="75" t="str">
        <x:f>IF($C164="","",SUMIFS('Master_Rules'!$H$4:$H$200,'Master_Rules'!$D$4:$D$200,C164))</x:f>
      </x:c>
      <x:c r="M164" s="75" t="str">
        <x:f>IF($C164="","",IF(K164=0,J164,MAX(K164,CEILING(J164,L164))))</x:f>
      </x:c>
      <x:c r="N164" s="75" t="str">
        <x:f>IF($C164="","",SUMIFS('Input_OL'!$G$4:$G$200,'Input_OL'!$C$4:$C$200,C164,'Input_OL'!$F$4:$F$200,B164))</x:f>
      </x:c>
      <x:c r="O164" s="75" t="str">
        <x:f>IF($C164="","",SUMIFS('Input_OL'!$G$4:$G$200,'Input_OL'!$C$4:$C$200,C164,'Input_OL'!$F$4:$F$200,B164))</x:f>
      </x:c>
      <x:c r="P164" s="75" t="str">
        <x:f>IF($C164="","",IF(N164=0,"확인필요",IF(ABS(M164-N164)/N164&lt;=0.2,"정상","Rule초과")))</x:f>
      </x:c>
      <x:c r="Q164" s="75" t="str">
        <x:f>IF($C164="","",IF(O164=0,"확인필요",IF(ABS(M164-O164)/O164&lt;=0.3,"정상","Rule초과")))</x:f>
      </x:c>
      <x:c r="R164" s="75" t="str">
        <x:f>IF($C164="","",M164)</x:f>
      </x:c>
      <x:c r="S164" s="75" t="str">
        <x:f>IF($C164="","",R164*SUMIFS('Master_Rules'!$J$4:$J$200,'Master_Rules'!$D$4:$D$200,C164))</x:f>
      </x:c>
      <x:c r="T164" s="72" t="str">
        <x:f>IF($C164="","",IF(OR(P164="Rule초과",Q164="Rule초과"),"Flex 확인",IF(R164&gt;J164,"MOQ 조정","정상")))</x:f>
      </x:c>
    </x:row>
    <x:row r="165">
      <x:c r="A165" s="71"/>
      <x:c r="B165" s="71"/>
      <x:c r="C165" s="72"/>
      <x:c r="D165" s="72"/>
      <x:c r="E165" s="72"/>
      <x:c r="F165" s="75" t="str">
        <x:f>IF($C165="","",SUMIFS('Input_OL'!$K$4:$K$200,'Input_OL'!$C$4:$C$200,C165,'Input_OL'!$F$4:$F$200,B165))</x:f>
      </x:c>
      <x:c r="G165" s="75" t="str">
        <x:f>IF($C165="","",SUMIFS('Input_Inventory'!$G$4:$G$200,'Input_Inventory'!$C$4:$C$200,C165))</x:f>
      </x:c>
      <x:c r="H165" s="75" t="str">
        <x:f>IF($C165="","",SUMIFS('Input_Inventory'!$L$4:$L$200,'Input_Inventory'!$C$4:$C$200,C165,'Input_Inventory'!$F$4:$F$200,B165))</x:f>
      </x:c>
      <x:c r="I165" s="75" t="str">
        <x:f>IF($C165="","",G165+H165)</x:f>
      </x:c>
      <x:c r="J165" s="75" t="str">
        <x:f>IF($C165="","",MAX(0,F165-I165))</x:f>
      </x:c>
      <x:c r="K165" s="75" t="str">
        <x:f>IF($C165="","",SUMIFS('Master_Rules'!$G$4:$G$200,'Master_Rules'!$D$4:$D$200,C165))</x:f>
      </x:c>
      <x:c r="L165" s="75" t="str">
        <x:f>IF($C165="","",SUMIFS('Master_Rules'!$H$4:$H$200,'Master_Rules'!$D$4:$D$200,C165))</x:f>
      </x:c>
      <x:c r="M165" s="75" t="str">
        <x:f>IF($C165="","",IF(K165=0,J165,MAX(K165,CEILING(J165,L165))))</x:f>
      </x:c>
      <x:c r="N165" s="75" t="str">
        <x:f>IF($C165="","",SUMIFS('Input_OL'!$G$4:$G$200,'Input_OL'!$C$4:$C$200,C165,'Input_OL'!$F$4:$F$200,B165))</x:f>
      </x:c>
      <x:c r="O165" s="75" t="str">
        <x:f>IF($C165="","",SUMIFS('Input_OL'!$G$4:$G$200,'Input_OL'!$C$4:$C$200,C165,'Input_OL'!$F$4:$F$200,B165))</x:f>
      </x:c>
      <x:c r="P165" s="75" t="str">
        <x:f>IF($C165="","",IF(N165=0,"확인필요",IF(ABS(M165-N165)/N165&lt;=0.2,"정상","Rule초과")))</x:f>
      </x:c>
      <x:c r="Q165" s="75" t="str">
        <x:f>IF($C165="","",IF(O165=0,"확인필요",IF(ABS(M165-O165)/O165&lt;=0.3,"정상","Rule초과")))</x:f>
      </x:c>
      <x:c r="R165" s="75" t="str">
        <x:f>IF($C165="","",M165)</x:f>
      </x:c>
      <x:c r="S165" s="75" t="str">
        <x:f>IF($C165="","",R165*SUMIFS('Master_Rules'!$J$4:$J$200,'Master_Rules'!$D$4:$D$200,C165))</x:f>
      </x:c>
      <x:c r="T165" s="72" t="str">
        <x:f>IF($C165="","",IF(OR(P165="Rule초과",Q165="Rule초과"),"Flex 확인",IF(R165&gt;J165,"MOQ 조정","정상")))</x:f>
      </x:c>
    </x:row>
    <x:row r="166">
      <x:c r="A166" s="71"/>
      <x:c r="B166" s="71"/>
      <x:c r="C166" s="72"/>
      <x:c r="D166" s="72"/>
      <x:c r="E166" s="72"/>
      <x:c r="F166" s="75" t="str">
        <x:f>IF($C166="","",SUMIFS('Input_OL'!$K$4:$K$200,'Input_OL'!$C$4:$C$200,C166,'Input_OL'!$F$4:$F$200,B166))</x:f>
      </x:c>
      <x:c r="G166" s="75" t="str">
        <x:f>IF($C166="","",SUMIFS('Input_Inventory'!$G$4:$G$200,'Input_Inventory'!$C$4:$C$200,C166))</x:f>
      </x:c>
      <x:c r="H166" s="75" t="str">
        <x:f>IF($C166="","",SUMIFS('Input_Inventory'!$L$4:$L$200,'Input_Inventory'!$C$4:$C$200,C166,'Input_Inventory'!$F$4:$F$200,B166))</x:f>
      </x:c>
      <x:c r="I166" s="75" t="str">
        <x:f>IF($C166="","",G166+H166)</x:f>
      </x:c>
      <x:c r="J166" s="75" t="str">
        <x:f>IF($C166="","",MAX(0,F166-I166))</x:f>
      </x:c>
      <x:c r="K166" s="75" t="str">
        <x:f>IF($C166="","",SUMIFS('Master_Rules'!$G$4:$G$200,'Master_Rules'!$D$4:$D$200,C166))</x:f>
      </x:c>
      <x:c r="L166" s="75" t="str">
        <x:f>IF($C166="","",SUMIFS('Master_Rules'!$H$4:$H$200,'Master_Rules'!$D$4:$D$200,C166))</x:f>
      </x:c>
      <x:c r="M166" s="75" t="str">
        <x:f>IF($C166="","",IF(K166=0,J166,MAX(K166,CEILING(J166,L166))))</x:f>
      </x:c>
      <x:c r="N166" s="75" t="str">
        <x:f>IF($C166="","",SUMIFS('Input_OL'!$G$4:$G$200,'Input_OL'!$C$4:$C$200,C166,'Input_OL'!$F$4:$F$200,B166))</x:f>
      </x:c>
      <x:c r="O166" s="75" t="str">
        <x:f>IF($C166="","",SUMIFS('Input_OL'!$G$4:$G$200,'Input_OL'!$C$4:$C$200,C166,'Input_OL'!$F$4:$F$200,B166))</x:f>
      </x:c>
      <x:c r="P166" s="75" t="str">
        <x:f>IF($C166="","",IF(N166=0,"확인필요",IF(ABS(M166-N166)/N166&lt;=0.2,"정상","Rule초과")))</x:f>
      </x:c>
      <x:c r="Q166" s="75" t="str">
        <x:f>IF($C166="","",IF(O166=0,"확인필요",IF(ABS(M166-O166)/O166&lt;=0.3,"정상","Rule초과")))</x:f>
      </x:c>
      <x:c r="R166" s="75" t="str">
        <x:f>IF($C166="","",M166)</x:f>
      </x:c>
      <x:c r="S166" s="75" t="str">
        <x:f>IF($C166="","",R166*SUMIFS('Master_Rules'!$J$4:$J$200,'Master_Rules'!$D$4:$D$200,C166))</x:f>
      </x:c>
      <x:c r="T166" s="72" t="str">
        <x:f>IF($C166="","",IF(OR(P166="Rule초과",Q166="Rule초과"),"Flex 확인",IF(R166&gt;J166,"MOQ 조정","정상")))</x:f>
      </x:c>
    </x:row>
    <x:row r="167">
      <x:c r="A167" s="71"/>
      <x:c r="B167" s="71"/>
      <x:c r="C167" s="72"/>
      <x:c r="D167" s="72"/>
      <x:c r="E167" s="72"/>
      <x:c r="F167" s="75" t="str">
        <x:f>IF($C167="","",SUMIFS('Input_OL'!$K$4:$K$200,'Input_OL'!$C$4:$C$200,C167,'Input_OL'!$F$4:$F$200,B167))</x:f>
      </x:c>
      <x:c r="G167" s="75" t="str">
        <x:f>IF($C167="","",SUMIFS('Input_Inventory'!$G$4:$G$200,'Input_Inventory'!$C$4:$C$200,C167))</x:f>
      </x:c>
      <x:c r="H167" s="75" t="str">
        <x:f>IF($C167="","",SUMIFS('Input_Inventory'!$L$4:$L$200,'Input_Inventory'!$C$4:$C$200,C167,'Input_Inventory'!$F$4:$F$200,B167))</x:f>
      </x:c>
      <x:c r="I167" s="75" t="str">
        <x:f>IF($C167="","",G167+H167)</x:f>
      </x:c>
      <x:c r="J167" s="75" t="str">
        <x:f>IF($C167="","",MAX(0,F167-I167))</x:f>
      </x:c>
      <x:c r="K167" s="75" t="str">
        <x:f>IF($C167="","",SUMIFS('Master_Rules'!$G$4:$G$200,'Master_Rules'!$D$4:$D$200,C167))</x:f>
      </x:c>
      <x:c r="L167" s="75" t="str">
        <x:f>IF($C167="","",SUMIFS('Master_Rules'!$H$4:$H$200,'Master_Rules'!$D$4:$D$200,C167))</x:f>
      </x:c>
      <x:c r="M167" s="75" t="str">
        <x:f>IF($C167="","",IF(K167=0,J167,MAX(K167,CEILING(J167,L167))))</x:f>
      </x:c>
      <x:c r="N167" s="75" t="str">
        <x:f>IF($C167="","",SUMIFS('Input_OL'!$G$4:$G$200,'Input_OL'!$C$4:$C$200,C167,'Input_OL'!$F$4:$F$200,B167))</x:f>
      </x:c>
      <x:c r="O167" s="75" t="str">
        <x:f>IF($C167="","",SUMIFS('Input_OL'!$G$4:$G$200,'Input_OL'!$C$4:$C$200,C167,'Input_OL'!$F$4:$F$200,B167))</x:f>
      </x:c>
      <x:c r="P167" s="75" t="str">
        <x:f>IF($C167="","",IF(N167=0,"확인필요",IF(ABS(M167-N167)/N167&lt;=0.2,"정상","Rule초과")))</x:f>
      </x:c>
      <x:c r="Q167" s="75" t="str">
        <x:f>IF($C167="","",IF(O167=0,"확인필요",IF(ABS(M167-O167)/O167&lt;=0.3,"정상","Rule초과")))</x:f>
      </x:c>
      <x:c r="R167" s="75" t="str">
        <x:f>IF($C167="","",M167)</x:f>
      </x:c>
      <x:c r="S167" s="75" t="str">
        <x:f>IF($C167="","",R167*SUMIFS('Master_Rules'!$J$4:$J$200,'Master_Rules'!$D$4:$D$200,C167))</x:f>
      </x:c>
      <x:c r="T167" s="72" t="str">
        <x:f>IF($C167="","",IF(OR(P167="Rule초과",Q167="Rule초과"),"Flex 확인",IF(R167&gt;J167,"MOQ 조정","정상")))</x:f>
      </x:c>
    </x:row>
    <x:row r="168">
      <x:c r="A168" s="71"/>
      <x:c r="B168" s="71"/>
      <x:c r="C168" s="72"/>
      <x:c r="D168" s="72"/>
      <x:c r="E168" s="72"/>
      <x:c r="F168" s="75" t="str">
        <x:f>IF($C168="","",SUMIFS('Input_OL'!$K$4:$K$200,'Input_OL'!$C$4:$C$200,C168,'Input_OL'!$F$4:$F$200,B168))</x:f>
      </x:c>
      <x:c r="G168" s="75" t="str">
        <x:f>IF($C168="","",SUMIFS('Input_Inventory'!$G$4:$G$200,'Input_Inventory'!$C$4:$C$200,C168))</x:f>
      </x:c>
      <x:c r="H168" s="75" t="str">
        <x:f>IF($C168="","",SUMIFS('Input_Inventory'!$L$4:$L$200,'Input_Inventory'!$C$4:$C$200,C168,'Input_Inventory'!$F$4:$F$200,B168))</x:f>
      </x:c>
      <x:c r="I168" s="75" t="str">
        <x:f>IF($C168="","",G168+H168)</x:f>
      </x:c>
      <x:c r="J168" s="75" t="str">
        <x:f>IF($C168="","",MAX(0,F168-I168))</x:f>
      </x:c>
      <x:c r="K168" s="75" t="str">
        <x:f>IF($C168="","",SUMIFS('Master_Rules'!$G$4:$G$200,'Master_Rules'!$D$4:$D$200,C168))</x:f>
      </x:c>
      <x:c r="L168" s="75" t="str">
        <x:f>IF($C168="","",SUMIFS('Master_Rules'!$H$4:$H$200,'Master_Rules'!$D$4:$D$200,C168))</x:f>
      </x:c>
      <x:c r="M168" s="75" t="str">
        <x:f>IF($C168="","",IF(K168=0,J168,MAX(K168,CEILING(J168,L168))))</x:f>
      </x:c>
      <x:c r="N168" s="75" t="str">
        <x:f>IF($C168="","",SUMIFS('Input_OL'!$G$4:$G$200,'Input_OL'!$C$4:$C$200,C168,'Input_OL'!$F$4:$F$200,B168))</x:f>
      </x:c>
      <x:c r="O168" s="75" t="str">
        <x:f>IF($C168="","",SUMIFS('Input_OL'!$G$4:$G$200,'Input_OL'!$C$4:$C$200,C168,'Input_OL'!$F$4:$F$200,B168))</x:f>
      </x:c>
      <x:c r="P168" s="75" t="str">
        <x:f>IF($C168="","",IF(N168=0,"확인필요",IF(ABS(M168-N168)/N168&lt;=0.2,"정상","Rule초과")))</x:f>
      </x:c>
      <x:c r="Q168" s="75" t="str">
        <x:f>IF($C168="","",IF(O168=0,"확인필요",IF(ABS(M168-O168)/O168&lt;=0.3,"정상","Rule초과")))</x:f>
      </x:c>
      <x:c r="R168" s="75" t="str">
        <x:f>IF($C168="","",M168)</x:f>
      </x:c>
      <x:c r="S168" s="75" t="str">
        <x:f>IF($C168="","",R168*SUMIFS('Master_Rules'!$J$4:$J$200,'Master_Rules'!$D$4:$D$200,C168))</x:f>
      </x:c>
      <x:c r="T168" s="72" t="str">
        <x:f>IF($C168="","",IF(OR(P168="Rule초과",Q168="Rule초과"),"Flex 확인",IF(R168&gt;J168,"MOQ 조정","정상")))</x:f>
      </x:c>
    </x:row>
    <x:row r="169">
      <x:c r="A169" s="71"/>
      <x:c r="B169" s="71"/>
      <x:c r="C169" s="72"/>
      <x:c r="D169" s="72"/>
      <x:c r="E169" s="72"/>
      <x:c r="F169" s="75" t="str">
        <x:f>IF($C169="","",SUMIFS('Input_OL'!$K$4:$K$200,'Input_OL'!$C$4:$C$200,C169,'Input_OL'!$F$4:$F$200,B169))</x:f>
      </x:c>
      <x:c r="G169" s="75" t="str">
        <x:f>IF($C169="","",SUMIFS('Input_Inventory'!$G$4:$G$200,'Input_Inventory'!$C$4:$C$200,C169))</x:f>
      </x:c>
      <x:c r="H169" s="75" t="str">
        <x:f>IF($C169="","",SUMIFS('Input_Inventory'!$L$4:$L$200,'Input_Inventory'!$C$4:$C$200,C169,'Input_Inventory'!$F$4:$F$200,B169))</x:f>
      </x:c>
      <x:c r="I169" s="75" t="str">
        <x:f>IF($C169="","",G169+H169)</x:f>
      </x:c>
      <x:c r="J169" s="75" t="str">
        <x:f>IF($C169="","",MAX(0,F169-I169))</x:f>
      </x:c>
      <x:c r="K169" s="75" t="str">
        <x:f>IF($C169="","",SUMIFS('Master_Rules'!$G$4:$G$200,'Master_Rules'!$D$4:$D$200,C169))</x:f>
      </x:c>
      <x:c r="L169" s="75" t="str">
        <x:f>IF($C169="","",SUMIFS('Master_Rules'!$H$4:$H$200,'Master_Rules'!$D$4:$D$200,C169))</x:f>
      </x:c>
      <x:c r="M169" s="75" t="str">
        <x:f>IF($C169="","",IF(K169=0,J169,MAX(K169,CEILING(J169,L169))))</x:f>
      </x:c>
      <x:c r="N169" s="75" t="str">
        <x:f>IF($C169="","",SUMIFS('Input_OL'!$G$4:$G$200,'Input_OL'!$C$4:$C$200,C169,'Input_OL'!$F$4:$F$200,B169))</x:f>
      </x:c>
      <x:c r="O169" s="75" t="str">
        <x:f>IF($C169="","",SUMIFS('Input_OL'!$G$4:$G$200,'Input_OL'!$C$4:$C$200,C169,'Input_OL'!$F$4:$F$200,B169))</x:f>
      </x:c>
      <x:c r="P169" s="75" t="str">
        <x:f>IF($C169="","",IF(N169=0,"확인필요",IF(ABS(M169-N169)/N169&lt;=0.2,"정상","Rule초과")))</x:f>
      </x:c>
      <x:c r="Q169" s="75" t="str">
        <x:f>IF($C169="","",IF(O169=0,"확인필요",IF(ABS(M169-O169)/O169&lt;=0.3,"정상","Rule초과")))</x:f>
      </x:c>
      <x:c r="R169" s="75" t="str">
        <x:f>IF($C169="","",M169)</x:f>
      </x:c>
      <x:c r="S169" s="75" t="str">
        <x:f>IF($C169="","",R169*SUMIFS('Master_Rules'!$J$4:$J$200,'Master_Rules'!$D$4:$D$200,C169))</x:f>
      </x:c>
      <x:c r="T169" s="72" t="str">
        <x:f>IF($C169="","",IF(OR(P169="Rule초과",Q169="Rule초과"),"Flex 확인",IF(R169&gt;J169,"MOQ 조정","정상")))</x:f>
      </x:c>
    </x:row>
    <x:row r="170">
      <x:c r="A170" s="71"/>
      <x:c r="B170" s="71"/>
      <x:c r="C170" s="72"/>
      <x:c r="D170" s="72"/>
      <x:c r="E170" s="72"/>
      <x:c r="F170" s="75" t="str">
        <x:f>IF($C170="","",SUMIFS('Input_OL'!$K$4:$K$200,'Input_OL'!$C$4:$C$200,C170,'Input_OL'!$F$4:$F$200,B170))</x:f>
      </x:c>
      <x:c r="G170" s="75" t="str">
        <x:f>IF($C170="","",SUMIFS('Input_Inventory'!$G$4:$G$200,'Input_Inventory'!$C$4:$C$200,C170))</x:f>
      </x:c>
      <x:c r="H170" s="75" t="str">
        <x:f>IF($C170="","",SUMIFS('Input_Inventory'!$L$4:$L$200,'Input_Inventory'!$C$4:$C$200,C170,'Input_Inventory'!$F$4:$F$200,B170))</x:f>
      </x:c>
      <x:c r="I170" s="75" t="str">
        <x:f>IF($C170="","",G170+H170)</x:f>
      </x:c>
      <x:c r="J170" s="75" t="str">
        <x:f>IF($C170="","",MAX(0,F170-I170))</x:f>
      </x:c>
      <x:c r="K170" s="75" t="str">
        <x:f>IF($C170="","",SUMIFS('Master_Rules'!$G$4:$G$200,'Master_Rules'!$D$4:$D$200,C170))</x:f>
      </x:c>
      <x:c r="L170" s="75" t="str">
        <x:f>IF($C170="","",SUMIFS('Master_Rules'!$H$4:$H$200,'Master_Rules'!$D$4:$D$200,C170))</x:f>
      </x:c>
      <x:c r="M170" s="75" t="str">
        <x:f>IF($C170="","",IF(K170=0,J170,MAX(K170,CEILING(J170,L170))))</x:f>
      </x:c>
      <x:c r="N170" s="75" t="str">
        <x:f>IF($C170="","",SUMIFS('Input_OL'!$G$4:$G$200,'Input_OL'!$C$4:$C$200,C170,'Input_OL'!$F$4:$F$200,B170))</x:f>
      </x:c>
      <x:c r="O170" s="75" t="str">
        <x:f>IF($C170="","",SUMIFS('Input_OL'!$G$4:$G$200,'Input_OL'!$C$4:$C$200,C170,'Input_OL'!$F$4:$F$200,B170))</x:f>
      </x:c>
      <x:c r="P170" s="75" t="str">
        <x:f>IF($C170="","",IF(N170=0,"확인필요",IF(ABS(M170-N170)/N170&lt;=0.2,"정상","Rule초과")))</x:f>
      </x:c>
      <x:c r="Q170" s="75" t="str">
        <x:f>IF($C170="","",IF(O170=0,"확인필요",IF(ABS(M170-O170)/O170&lt;=0.3,"정상","Rule초과")))</x:f>
      </x:c>
      <x:c r="R170" s="75" t="str">
        <x:f>IF($C170="","",M170)</x:f>
      </x:c>
      <x:c r="S170" s="75" t="str">
        <x:f>IF($C170="","",R170*SUMIFS('Master_Rules'!$J$4:$J$200,'Master_Rules'!$D$4:$D$200,C170))</x:f>
      </x:c>
      <x:c r="T170" s="72" t="str">
        <x:f>IF($C170="","",IF(OR(P170="Rule초과",Q170="Rule초과"),"Flex 확인",IF(R170&gt;J170,"MOQ 조정","정상")))</x:f>
      </x:c>
    </x:row>
    <x:row r="171">
      <x:c r="A171" s="71"/>
      <x:c r="B171" s="71"/>
      <x:c r="C171" s="72"/>
      <x:c r="D171" s="72"/>
      <x:c r="E171" s="72"/>
      <x:c r="F171" s="75" t="str">
        <x:f>IF($C171="","",SUMIFS('Input_OL'!$K$4:$K$200,'Input_OL'!$C$4:$C$200,C171,'Input_OL'!$F$4:$F$200,B171))</x:f>
      </x:c>
      <x:c r="G171" s="75" t="str">
        <x:f>IF($C171="","",SUMIFS('Input_Inventory'!$G$4:$G$200,'Input_Inventory'!$C$4:$C$200,C171))</x:f>
      </x:c>
      <x:c r="H171" s="75" t="str">
        <x:f>IF($C171="","",SUMIFS('Input_Inventory'!$L$4:$L$200,'Input_Inventory'!$C$4:$C$200,C171,'Input_Inventory'!$F$4:$F$200,B171))</x:f>
      </x:c>
      <x:c r="I171" s="75" t="str">
        <x:f>IF($C171="","",G171+H171)</x:f>
      </x:c>
      <x:c r="J171" s="75" t="str">
        <x:f>IF($C171="","",MAX(0,F171-I171))</x:f>
      </x:c>
      <x:c r="K171" s="75" t="str">
        <x:f>IF($C171="","",SUMIFS('Master_Rules'!$G$4:$G$200,'Master_Rules'!$D$4:$D$200,C171))</x:f>
      </x:c>
      <x:c r="L171" s="75" t="str">
        <x:f>IF($C171="","",SUMIFS('Master_Rules'!$H$4:$H$200,'Master_Rules'!$D$4:$D$200,C171))</x:f>
      </x:c>
      <x:c r="M171" s="75" t="str">
        <x:f>IF($C171="","",IF(K171=0,J171,MAX(K171,CEILING(J171,L171))))</x:f>
      </x:c>
      <x:c r="N171" s="75" t="str">
        <x:f>IF($C171="","",SUMIFS('Input_OL'!$G$4:$G$200,'Input_OL'!$C$4:$C$200,C171,'Input_OL'!$F$4:$F$200,B171))</x:f>
      </x:c>
      <x:c r="O171" s="75" t="str">
        <x:f>IF($C171="","",SUMIFS('Input_OL'!$G$4:$G$200,'Input_OL'!$C$4:$C$200,C171,'Input_OL'!$F$4:$F$200,B171))</x:f>
      </x:c>
      <x:c r="P171" s="75" t="str">
        <x:f>IF($C171="","",IF(N171=0,"확인필요",IF(ABS(M171-N171)/N171&lt;=0.2,"정상","Rule초과")))</x:f>
      </x:c>
      <x:c r="Q171" s="75" t="str">
        <x:f>IF($C171="","",IF(O171=0,"확인필요",IF(ABS(M171-O171)/O171&lt;=0.3,"정상","Rule초과")))</x:f>
      </x:c>
      <x:c r="R171" s="75" t="str">
        <x:f>IF($C171="","",M171)</x:f>
      </x:c>
      <x:c r="S171" s="75" t="str">
        <x:f>IF($C171="","",R171*SUMIFS('Master_Rules'!$J$4:$J$200,'Master_Rules'!$D$4:$D$200,C171))</x:f>
      </x:c>
      <x:c r="T171" s="72" t="str">
        <x:f>IF($C171="","",IF(OR(P171="Rule초과",Q171="Rule초과"),"Flex 확인",IF(R171&gt;J171,"MOQ 조정","정상")))</x:f>
      </x:c>
    </x:row>
    <x:row r="172">
      <x:c r="A172" s="71"/>
      <x:c r="B172" s="71"/>
      <x:c r="C172" s="72"/>
      <x:c r="D172" s="72"/>
      <x:c r="E172" s="72"/>
      <x:c r="F172" s="75" t="str">
        <x:f>IF($C172="","",SUMIFS('Input_OL'!$K$4:$K$200,'Input_OL'!$C$4:$C$200,C172,'Input_OL'!$F$4:$F$200,B172))</x:f>
      </x:c>
      <x:c r="G172" s="75" t="str">
        <x:f>IF($C172="","",SUMIFS('Input_Inventory'!$G$4:$G$200,'Input_Inventory'!$C$4:$C$200,C172))</x:f>
      </x:c>
      <x:c r="H172" s="75" t="str">
        <x:f>IF($C172="","",SUMIFS('Input_Inventory'!$L$4:$L$200,'Input_Inventory'!$C$4:$C$200,C172,'Input_Inventory'!$F$4:$F$200,B172))</x:f>
      </x:c>
      <x:c r="I172" s="75" t="str">
        <x:f>IF($C172="","",G172+H172)</x:f>
      </x:c>
      <x:c r="J172" s="75" t="str">
        <x:f>IF($C172="","",MAX(0,F172-I172))</x:f>
      </x:c>
      <x:c r="K172" s="75" t="str">
        <x:f>IF($C172="","",SUMIFS('Master_Rules'!$G$4:$G$200,'Master_Rules'!$D$4:$D$200,C172))</x:f>
      </x:c>
      <x:c r="L172" s="75" t="str">
        <x:f>IF($C172="","",SUMIFS('Master_Rules'!$H$4:$H$200,'Master_Rules'!$D$4:$D$200,C172))</x:f>
      </x:c>
      <x:c r="M172" s="75" t="str">
        <x:f>IF($C172="","",IF(K172=0,J172,MAX(K172,CEILING(J172,L172))))</x:f>
      </x:c>
      <x:c r="N172" s="75" t="str">
        <x:f>IF($C172="","",SUMIFS('Input_OL'!$G$4:$G$200,'Input_OL'!$C$4:$C$200,C172,'Input_OL'!$F$4:$F$200,B172))</x:f>
      </x:c>
      <x:c r="O172" s="75" t="str">
        <x:f>IF($C172="","",SUMIFS('Input_OL'!$G$4:$G$200,'Input_OL'!$C$4:$C$200,C172,'Input_OL'!$F$4:$F$200,B172))</x:f>
      </x:c>
      <x:c r="P172" s="75" t="str">
        <x:f>IF($C172="","",IF(N172=0,"확인필요",IF(ABS(M172-N172)/N172&lt;=0.2,"정상","Rule초과")))</x:f>
      </x:c>
      <x:c r="Q172" s="75" t="str">
        <x:f>IF($C172="","",IF(O172=0,"확인필요",IF(ABS(M172-O172)/O172&lt;=0.3,"정상","Rule초과")))</x:f>
      </x:c>
      <x:c r="R172" s="75" t="str">
        <x:f>IF($C172="","",M172)</x:f>
      </x:c>
      <x:c r="S172" s="75" t="str">
        <x:f>IF($C172="","",R172*SUMIFS('Master_Rules'!$J$4:$J$200,'Master_Rules'!$D$4:$D$200,C172))</x:f>
      </x:c>
      <x:c r="T172" s="72" t="str">
        <x:f>IF($C172="","",IF(OR(P172="Rule초과",Q172="Rule초과"),"Flex 확인",IF(R172&gt;J172,"MOQ 조정","정상")))</x:f>
      </x:c>
    </x:row>
    <x:row r="173">
      <x:c r="A173" s="71"/>
      <x:c r="B173" s="71"/>
      <x:c r="C173" s="72"/>
      <x:c r="D173" s="72"/>
      <x:c r="E173" s="72"/>
      <x:c r="F173" s="75" t="str">
        <x:f>IF($C173="","",SUMIFS('Input_OL'!$K$4:$K$200,'Input_OL'!$C$4:$C$200,C173,'Input_OL'!$F$4:$F$200,B173))</x:f>
      </x:c>
      <x:c r="G173" s="75" t="str">
        <x:f>IF($C173="","",SUMIFS('Input_Inventory'!$G$4:$G$200,'Input_Inventory'!$C$4:$C$200,C173))</x:f>
      </x:c>
      <x:c r="H173" s="75" t="str">
        <x:f>IF($C173="","",SUMIFS('Input_Inventory'!$L$4:$L$200,'Input_Inventory'!$C$4:$C$200,C173,'Input_Inventory'!$F$4:$F$200,B173))</x:f>
      </x:c>
      <x:c r="I173" s="75" t="str">
        <x:f>IF($C173="","",G173+H173)</x:f>
      </x:c>
      <x:c r="J173" s="75" t="str">
        <x:f>IF($C173="","",MAX(0,F173-I173))</x:f>
      </x:c>
      <x:c r="K173" s="75" t="str">
        <x:f>IF($C173="","",SUMIFS('Master_Rules'!$G$4:$G$200,'Master_Rules'!$D$4:$D$200,C173))</x:f>
      </x:c>
      <x:c r="L173" s="75" t="str">
        <x:f>IF($C173="","",SUMIFS('Master_Rules'!$H$4:$H$200,'Master_Rules'!$D$4:$D$200,C173))</x:f>
      </x:c>
      <x:c r="M173" s="75" t="str">
        <x:f>IF($C173="","",IF(K173=0,J173,MAX(K173,CEILING(J173,L173))))</x:f>
      </x:c>
      <x:c r="N173" s="75" t="str">
        <x:f>IF($C173="","",SUMIFS('Input_OL'!$G$4:$G$200,'Input_OL'!$C$4:$C$200,C173,'Input_OL'!$F$4:$F$200,B173))</x:f>
      </x:c>
      <x:c r="O173" s="75" t="str">
        <x:f>IF($C173="","",SUMIFS('Input_OL'!$G$4:$G$200,'Input_OL'!$C$4:$C$200,C173,'Input_OL'!$F$4:$F$200,B173))</x:f>
      </x:c>
      <x:c r="P173" s="75" t="str">
        <x:f>IF($C173="","",IF(N173=0,"확인필요",IF(ABS(M173-N173)/N173&lt;=0.2,"정상","Rule초과")))</x:f>
      </x:c>
      <x:c r="Q173" s="75" t="str">
        <x:f>IF($C173="","",IF(O173=0,"확인필요",IF(ABS(M173-O173)/O173&lt;=0.3,"정상","Rule초과")))</x:f>
      </x:c>
      <x:c r="R173" s="75" t="str">
        <x:f>IF($C173="","",M173)</x:f>
      </x:c>
      <x:c r="S173" s="75" t="str">
        <x:f>IF($C173="","",R173*SUMIFS('Master_Rules'!$J$4:$J$200,'Master_Rules'!$D$4:$D$200,C173))</x:f>
      </x:c>
      <x:c r="T173" s="72" t="str">
        <x:f>IF($C173="","",IF(OR(P173="Rule초과",Q173="Rule초과"),"Flex 확인",IF(R173&gt;J173,"MOQ 조정","정상")))</x:f>
      </x:c>
    </x:row>
    <x:row r="174">
      <x:c r="A174" s="71"/>
      <x:c r="B174" s="71"/>
      <x:c r="C174" s="72"/>
      <x:c r="D174" s="72"/>
      <x:c r="E174" s="72"/>
      <x:c r="F174" s="75" t="str">
        <x:f>IF($C174="","",SUMIFS('Input_OL'!$K$4:$K$200,'Input_OL'!$C$4:$C$200,C174,'Input_OL'!$F$4:$F$200,B174))</x:f>
      </x:c>
      <x:c r="G174" s="75" t="str">
        <x:f>IF($C174="","",SUMIFS('Input_Inventory'!$G$4:$G$200,'Input_Inventory'!$C$4:$C$200,C174))</x:f>
      </x:c>
      <x:c r="H174" s="75" t="str">
        <x:f>IF($C174="","",SUMIFS('Input_Inventory'!$L$4:$L$200,'Input_Inventory'!$C$4:$C$200,C174,'Input_Inventory'!$F$4:$F$200,B174))</x:f>
      </x:c>
      <x:c r="I174" s="75" t="str">
        <x:f>IF($C174="","",G174+H174)</x:f>
      </x:c>
      <x:c r="J174" s="75" t="str">
        <x:f>IF($C174="","",MAX(0,F174-I174))</x:f>
      </x:c>
      <x:c r="K174" s="75" t="str">
        <x:f>IF($C174="","",SUMIFS('Master_Rules'!$G$4:$G$200,'Master_Rules'!$D$4:$D$200,C174))</x:f>
      </x:c>
      <x:c r="L174" s="75" t="str">
        <x:f>IF($C174="","",SUMIFS('Master_Rules'!$H$4:$H$200,'Master_Rules'!$D$4:$D$200,C174))</x:f>
      </x:c>
      <x:c r="M174" s="75" t="str">
        <x:f>IF($C174="","",IF(K174=0,J174,MAX(K174,CEILING(J174,L174))))</x:f>
      </x:c>
      <x:c r="N174" s="75" t="str">
        <x:f>IF($C174="","",SUMIFS('Input_OL'!$G$4:$G$200,'Input_OL'!$C$4:$C$200,C174,'Input_OL'!$F$4:$F$200,B174))</x:f>
      </x:c>
      <x:c r="O174" s="75" t="str">
        <x:f>IF($C174="","",SUMIFS('Input_OL'!$G$4:$G$200,'Input_OL'!$C$4:$C$200,C174,'Input_OL'!$F$4:$F$200,B174))</x:f>
      </x:c>
      <x:c r="P174" s="75" t="str">
        <x:f>IF($C174="","",IF(N174=0,"확인필요",IF(ABS(M174-N174)/N174&lt;=0.2,"정상","Rule초과")))</x:f>
      </x:c>
      <x:c r="Q174" s="75" t="str">
        <x:f>IF($C174="","",IF(O174=0,"확인필요",IF(ABS(M174-O174)/O174&lt;=0.3,"정상","Rule초과")))</x:f>
      </x:c>
      <x:c r="R174" s="75" t="str">
        <x:f>IF($C174="","",M174)</x:f>
      </x:c>
      <x:c r="S174" s="75" t="str">
        <x:f>IF($C174="","",R174*SUMIFS('Master_Rules'!$J$4:$J$200,'Master_Rules'!$D$4:$D$200,C174))</x:f>
      </x:c>
      <x:c r="T174" s="72" t="str">
        <x:f>IF($C174="","",IF(OR(P174="Rule초과",Q174="Rule초과"),"Flex 확인",IF(R174&gt;J174,"MOQ 조정","정상")))</x:f>
      </x:c>
    </x:row>
    <x:row r="175">
      <x:c r="A175" s="71"/>
      <x:c r="B175" s="71"/>
      <x:c r="C175" s="72"/>
      <x:c r="D175" s="72"/>
      <x:c r="E175" s="72"/>
      <x:c r="F175" s="75" t="str">
        <x:f>IF($C175="","",SUMIFS('Input_OL'!$K$4:$K$200,'Input_OL'!$C$4:$C$200,C175,'Input_OL'!$F$4:$F$200,B175))</x:f>
      </x:c>
      <x:c r="G175" s="75" t="str">
        <x:f>IF($C175="","",SUMIFS('Input_Inventory'!$G$4:$G$200,'Input_Inventory'!$C$4:$C$200,C175))</x:f>
      </x:c>
      <x:c r="H175" s="75" t="str">
        <x:f>IF($C175="","",SUMIFS('Input_Inventory'!$L$4:$L$200,'Input_Inventory'!$C$4:$C$200,C175,'Input_Inventory'!$F$4:$F$200,B175))</x:f>
      </x:c>
      <x:c r="I175" s="75" t="str">
        <x:f>IF($C175="","",G175+H175)</x:f>
      </x:c>
      <x:c r="J175" s="75" t="str">
        <x:f>IF($C175="","",MAX(0,F175-I175))</x:f>
      </x:c>
      <x:c r="K175" s="75" t="str">
        <x:f>IF($C175="","",SUMIFS('Master_Rules'!$G$4:$G$200,'Master_Rules'!$D$4:$D$200,C175))</x:f>
      </x:c>
      <x:c r="L175" s="75" t="str">
        <x:f>IF($C175="","",SUMIFS('Master_Rules'!$H$4:$H$200,'Master_Rules'!$D$4:$D$200,C175))</x:f>
      </x:c>
      <x:c r="M175" s="75" t="str">
        <x:f>IF($C175="","",IF(K175=0,J175,MAX(K175,CEILING(J175,L175))))</x:f>
      </x:c>
      <x:c r="N175" s="75" t="str">
        <x:f>IF($C175="","",SUMIFS('Input_OL'!$G$4:$G$200,'Input_OL'!$C$4:$C$200,C175,'Input_OL'!$F$4:$F$200,B175))</x:f>
      </x:c>
      <x:c r="O175" s="75" t="str">
        <x:f>IF($C175="","",SUMIFS('Input_OL'!$G$4:$G$200,'Input_OL'!$C$4:$C$200,C175,'Input_OL'!$F$4:$F$200,B175))</x:f>
      </x:c>
      <x:c r="P175" s="75" t="str">
        <x:f>IF($C175="","",IF(N175=0,"확인필요",IF(ABS(M175-N175)/N175&lt;=0.2,"정상","Rule초과")))</x:f>
      </x:c>
      <x:c r="Q175" s="75" t="str">
        <x:f>IF($C175="","",IF(O175=0,"확인필요",IF(ABS(M175-O175)/O175&lt;=0.3,"정상","Rule초과")))</x:f>
      </x:c>
      <x:c r="R175" s="75" t="str">
        <x:f>IF($C175="","",M175)</x:f>
      </x:c>
      <x:c r="S175" s="75" t="str">
        <x:f>IF($C175="","",R175*SUMIFS('Master_Rules'!$J$4:$J$200,'Master_Rules'!$D$4:$D$200,C175))</x:f>
      </x:c>
      <x:c r="T175" s="72" t="str">
        <x:f>IF($C175="","",IF(OR(P175="Rule초과",Q175="Rule초과"),"Flex 확인",IF(R175&gt;J175,"MOQ 조정","정상")))</x:f>
      </x:c>
    </x:row>
    <x:row r="176">
      <x:c r="A176" s="71"/>
      <x:c r="B176" s="71"/>
      <x:c r="C176" s="72"/>
      <x:c r="D176" s="72"/>
      <x:c r="E176" s="72"/>
      <x:c r="F176" s="75" t="str">
        <x:f>IF($C176="","",SUMIFS('Input_OL'!$K$4:$K$200,'Input_OL'!$C$4:$C$200,C176,'Input_OL'!$F$4:$F$200,B176))</x:f>
      </x:c>
      <x:c r="G176" s="75" t="str">
        <x:f>IF($C176="","",SUMIFS('Input_Inventory'!$G$4:$G$200,'Input_Inventory'!$C$4:$C$200,C176))</x:f>
      </x:c>
      <x:c r="H176" s="75" t="str">
        <x:f>IF($C176="","",SUMIFS('Input_Inventory'!$L$4:$L$200,'Input_Inventory'!$C$4:$C$200,C176,'Input_Inventory'!$F$4:$F$200,B176))</x:f>
      </x:c>
      <x:c r="I176" s="75" t="str">
        <x:f>IF($C176="","",G176+H176)</x:f>
      </x:c>
      <x:c r="J176" s="75" t="str">
        <x:f>IF($C176="","",MAX(0,F176-I176))</x:f>
      </x:c>
      <x:c r="K176" s="75" t="str">
        <x:f>IF($C176="","",SUMIFS('Master_Rules'!$G$4:$G$200,'Master_Rules'!$D$4:$D$200,C176))</x:f>
      </x:c>
      <x:c r="L176" s="75" t="str">
        <x:f>IF($C176="","",SUMIFS('Master_Rules'!$H$4:$H$200,'Master_Rules'!$D$4:$D$200,C176))</x:f>
      </x:c>
      <x:c r="M176" s="75" t="str">
        <x:f>IF($C176="","",IF(K176=0,J176,MAX(K176,CEILING(J176,L176))))</x:f>
      </x:c>
      <x:c r="N176" s="75" t="str">
        <x:f>IF($C176="","",SUMIFS('Input_OL'!$G$4:$G$200,'Input_OL'!$C$4:$C$200,C176,'Input_OL'!$F$4:$F$200,B176))</x:f>
      </x:c>
      <x:c r="O176" s="75" t="str">
        <x:f>IF($C176="","",SUMIFS('Input_OL'!$G$4:$G$200,'Input_OL'!$C$4:$C$200,C176,'Input_OL'!$F$4:$F$200,B176))</x:f>
      </x:c>
      <x:c r="P176" s="75" t="str">
        <x:f>IF($C176="","",IF(N176=0,"확인필요",IF(ABS(M176-N176)/N176&lt;=0.2,"정상","Rule초과")))</x:f>
      </x:c>
      <x:c r="Q176" s="75" t="str">
        <x:f>IF($C176="","",IF(O176=0,"확인필요",IF(ABS(M176-O176)/O176&lt;=0.3,"정상","Rule초과")))</x:f>
      </x:c>
      <x:c r="R176" s="75" t="str">
        <x:f>IF($C176="","",M176)</x:f>
      </x:c>
      <x:c r="S176" s="75" t="str">
        <x:f>IF($C176="","",R176*SUMIFS('Master_Rules'!$J$4:$J$200,'Master_Rules'!$D$4:$D$200,C176))</x:f>
      </x:c>
      <x:c r="T176" s="72" t="str">
        <x:f>IF($C176="","",IF(OR(P176="Rule초과",Q176="Rule초과"),"Flex 확인",IF(R176&gt;J176,"MOQ 조정","정상")))</x:f>
      </x:c>
    </x:row>
    <x:row r="177">
      <x:c r="A177" s="71"/>
      <x:c r="B177" s="71"/>
      <x:c r="C177" s="72"/>
      <x:c r="D177" s="72"/>
      <x:c r="E177" s="72"/>
      <x:c r="F177" s="75" t="str">
        <x:f>IF($C177="","",SUMIFS('Input_OL'!$K$4:$K$200,'Input_OL'!$C$4:$C$200,C177,'Input_OL'!$F$4:$F$200,B177))</x:f>
      </x:c>
      <x:c r="G177" s="75" t="str">
        <x:f>IF($C177="","",SUMIFS('Input_Inventory'!$G$4:$G$200,'Input_Inventory'!$C$4:$C$200,C177))</x:f>
      </x:c>
      <x:c r="H177" s="75" t="str">
        <x:f>IF($C177="","",SUMIFS('Input_Inventory'!$L$4:$L$200,'Input_Inventory'!$C$4:$C$200,C177,'Input_Inventory'!$F$4:$F$200,B177))</x:f>
      </x:c>
      <x:c r="I177" s="75" t="str">
        <x:f>IF($C177="","",G177+H177)</x:f>
      </x:c>
      <x:c r="J177" s="75" t="str">
        <x:f>IF($C177="","",MAX(0,F177-I177))</x:f>
      </x:c>
      <x:c r="K177" s="75" t="str">
        <x:f>IF($C177="","",SUMIFS('Master_Rules'!$G$4:$G$200,'Master_Rules'!$D$4:$D$200,C177))</x:f>
      </x:c>
      <x:c r="L177" s="75" t="str">
        <x:f>IF($C177="","",SUMIFS('Master_Rules'!$H$4:$H$200,'Master_Rules'!$D$4:$D$200,C177))</x:f>
      </x:c>
      <x:c r="M177" s="75" t="str">
        <x:f>IF($C177="","",IF(K177=0,J177,MAX(K177,CEILING(J177,L177))))</x:f>
      </x:c>
      <x:c r="N177" s="75" t="str">
        <x:f>IF($C177="","",SUMIFS('Input_OL'!$G$4:$G$200,'Input_OL'!$C$4:$C$200,C177,'Input_OL'!$F$4:$F$200,B177))</x:f>
      </x:c>
      <x:c r="O177" s="75" t="str">
        <x:f>IF($C177="","",SUMIFS('Input_OL'!$G$4:$G$200,'Input_OL'!$C$4:$C$200,C177,'Input_OL'!$F$4:$F$200,B177))</x:f>
      </x:c>
      <x:c r="P177" s="75" t="str">
        <x:f>IF($C177="","",IF(N177=0,"확인필요",IF(ABS(M177-N177)/N177&lt;=0.2,"정상","Rule초과")))</x:f>
      </x:c>
      <x:c r="Q177" s="75" t="str">
        <x:f>IF($C177="","",IF(O177=0,"확인필요",IF(ABS(M177-O177)/O177&lt;=0.3,"정상","Rule초과")))</x:f>
      </x:c>
      <x:c r="R177" s="75" t="str">
        <x:f>IF($C177="","",M177)</x:f>
      </x:c>
      <x:c r="S177" s="75" t="str">
        <x:f>IF($C177="","",R177*SUMIFS('Master_Rules'!$J$4:$J$200,'Master_Rules'!$D$4:$D$200,C177))</x:f>
      </x:c>
      <x:c r="T177" s="72" t="str">
        <x:f>IF($C177="","",IF(OR(P177="Rule초과",Q177="Rule초과"),"Flex 확인",IF(R177&gt;J177,"MOQ 조정","정상")))</x:f>
      </x:c>
    </x:row>
    <x:row r="178">
      <x:c r="A178" s="71"/>
      <x:c r="B178" s="71"/>
      <x:c r="C178" s="72"/>
      <x:c r="D178" s="72"/>
      <x:c r="E178" s="72"/>
      <x:c r="F178" s="75" t="str">
        <x:f>IF($C178="","",SUMIFS('Input_OL'!$K$4:$K$200,'Input_OL'!$C$4:$C$200,C178,'Input_OL'!$F$4:$F$200,B178))</x:f>
      </x:c>
      <x:c r="G178" s="75" t="str">
        <x:f>IF($C178="","",SUMIFS('Input_Inventory'!$G$4:$G$200,'Input_Inventory'!$C$4:$C$200,C178))</x:f>
      </x:c>
      <x:c r="H178" s="75" t="str">
        <x:f>IF($C178="","",SUMIFS('Input_Inventory'!$L$4:$L$200,'Input_Inventory'!$C$4:$C$200,C178,'Input_Inventory'!$F$4:$F$200,B178))</x:f>
      </x:c>
      <x:c r="I178" s="75" t="str">
        <x:f>IF($C178="","",G178+H178)</x:f>
      </x:c>
      <x:c r="J178" s="75" t="str">
        <x:f>IF($C178="","",MAX(0,F178-I178))</x:f>
      </x:c>
      <x:c r="K178" s="75" t="str">
        <x:f>IF($C178="","",SUMIFS('Master_Rules'!$G$4:$G$200,'Master_Rules'!$D$4:$D$200,C178))</x:f>
      </x:c>
      <x:c r="L178" s="75" t="str">
        <x:f>IF($C178="","",SUMIFS('Master_Rules'!$H$4:$H$200,'Master_Rules'!$D$4:$D$200,C178))</x:f>
      </x:c>
      <x:c r="M178" s="75" t="str">
        <x:f>IF($C178="","",IF(K178=0,J178,MAX(K178,CEILING(J178,L178))))</x:f>
      </x:c>
      <x:c r="N178" s="75" t="str">
        <x:f>IF($C178="","",SUMIFS('Input_OL'!$G$4:$G$200,'Input_OL'!$C$4:$C$200,C178,'Input_OL'!$F$4:$F$200,B178))</x:f>
      </x:c>
      <x:c r="O178" s="75" t="str">
        <x:f>IF($C178="","",SUMIFS('Input_OL'!$G$4:$G$200,'Input_OL'!$C$4:$C$200,C178,'Input_OL'!$F$4:$F$200,B178))</x:f>
      </x:c>
      <x:c r="P178" s="75" t="str">
        <x:f>IF($C178="","",IF(N178=0,"확인필요",IF(ABS(M178-N178)/N178&lt;=0.2,"정상","Rule초과")))</x:f>
      </x:c>
      <x:c r="Q178" s="75" t="str">
        <x:f>IF($C178="","",IF(O178=0,"확인필요",IF(ABS(M178-O178)/O178&lt;=0.3,"정상","Rule초과")))</x:f>
      </x:c>
      <x:c r="R178" s="75" t="str">
        <x:f>IF($C178="","",M178)</x:f>
      </x:c>
      <x:c r="S178" s="75" t="str">
        <x:f>IF($C178="","",R178*SUMIFS('Master_Rules'!$J$4:$J$200,'Master_Rules'!$D$4:$D$200,C178))</x:f>
      </x:c>
      <x:c r="T178" s="72" t="str">
        <x:f>IF($C178="","",IF(OR(P178="Rule초과",Q178="Rule초과"),"Flex 확인",IF(R178&gt;J178,"MOQ 조정","정상")))</x:f>
      </x:c>
    </x:row>
    <x:row r="179">
      <x:c r="A179" s="71"/>
      <x:c r="B179" s="71"/>
      <x:c r="C179" s="72"/>
      <x:c r="D179" s="72"/>
      <x:c r="E179" s="72"/>
      <x:c r="F179" s="75" t="str">
        <x:f>IF($C179="","",SUMIFS('Input_OL'!$K$4:$K$200,'Input_OL'!$C$4:$C$200,C179,'Input_OL'!$F$4:$F$200,B179))</x:f>
      </x:c>
      <x:c r="G179" s="75" t="str">
        <x:f>IF($C179="","",SUMIFS('Input_Inventory'!$G$4:$G$200,'Input_Inventory'!$C$4:$C$200,C179))</x:f>
      </x:c>
      <x:c r="H179" s="75" t="str">
        <x:f>IF($C179="","",SUMIFS('Input_Inventory'!$L$4:$L$200,'Input_Inventory'!$C$4:$C$200,C179,'Input_Inventory'!$F$4:$F$200,B179))</x:f>
      </x:c>
      <x:c r="I179" s="75" t="str">
        <x:f>IF($C179="","",G179+H179)</x:f>
      </x:c>
      <x:c r="J179" s="75" t="str">
        <x:f>IF($C179="","",MAX(0,F179-I179))</x:f>
      </x:c>
      <x:c r="K179" s="75" t="str">
        <x:f>IF($C179="","",SUMIFS('Master_Rules'!$G$4:$G$200,'Master_Rules'!$D$4:$D$200,C179))</x:f>
      </x:c>
      <x:c r="L179" s="75" t="str">
        <x:f>IF($C179="","",SUMIFS('Master_Rules'!$H$4:$H$200,'Master_Rules'!$D$4:$D$200,C179))</x:f>
      </x:c>
      <x:c r="M179" s="75" t="str">
        <x:f>IF($C179="","",IF(K179=0,J179,MAX(K179,CEILING(J179,L179))))</x:f>
      </x:c>
      <x:c r="N179" s="75" t="str">
        <x:f>IF($C179="","",SUMIFS('Input_OL'!$G$4:$G$200,'Input_OL'!$C$4:$C$200,C179,'Input_OL'!$F$4:$F$200,B179))</x:f>
      </x:c>
      <x:c r="O179" s="75" t="str">
        <x:f>IF($C179="","",SUMIFS('Input_OL'!$G$4:$G$200,'Input_OL'!$C$4:$C$200,C179,'Input_OL'!$F$4:$F$200,B179))</x:f>
      </x:c>
      <x:c r="P179" s="75" t="str">
        <x:f>IF($C179="","",IF(N179=0,"확인필요",IF(ABS(M179-N179)/N179&lt;=0.2,"정상","Rule초과")))</x:f>
      </x:c>
      <x:c r="Q179" s="75" t="str">
        <x:f>IF($C179="","",IF(O179=0,"확인필요",IF(ABS(M179-O179)/O179&lt;=0.3,"정상","Rule초과")))</x:f>
      </x:c>
      <x:c r="R179" s="75" t="str">
        <x:f>IF($C179="","",M179)</x:f>
      </x:c>
      <x:c r="S179" s="75" t="str">
        <x:f>IF($C179="","",R179*SUMIFS('Master_Rules'!$J$4:$J$200,'Master_Rules'!$D$4:$D$200,C179))</x:f>
      </x:c>
      <x:c r="T179" s="72" t="str">
        <x:f>IF($C179="","",IF(OR(P179="Rule초과",Q179="Rule초과"),"Flex 확인",IF(R179&gt;J179,"MOQ 조정","정상")))</x:f>
      </x:c>
    </x:row>
    <x:row r="180">
      <x:c r="A180" s="71"/>
      <x:c r="B180" s="71"/>
      <x:c r="C180" s="72"/>
      <x:c r="D180" s="72"/>
      <x:c r="E180" s="72"/>
      <x:c r="F180" s="75" t="str">
        <x:f>IF($C180="","",SUMIFS('Input_OL'!$K$4:$K$200,'Input_OL'!$C$4:$C$200,C180,'Input_OL'!$F$4:$F$200,B180))</x:f>
      </x:c>
      <x:c r="G180" s="75" t="str">
        <x:f>IF($C180="","",SUMIFS('Input_Inventory'!$G$4:$G$200,'Input_Inventory'!$C$4:$C$200,C180))</x:f>
      </x:c>
      <x:c r="H180" s="75" t="str">
        <x:f>IF($C180="","",SUMIFS('Input_Inventory'!$L$4:$L$200,'Input_Inventory'!$C$4:$C$200,C180,'Input_Inventory'!$F$4:$F$200,B180))</x:f>
      </x:c>
      <x:c r="I180" s="75" t="str">
        <x:f>IF($C180="","",G180+H180)</x:f>
      </x:c>
      <x:c r="J180" s="75" t="str">
        <x:f>IF($C180="","",MAX(0,F180-I180))</x:f>
      </x:c>
      <x:c r="K180" s="75" t="str">
        <x:f>IF($C180="","",SUMIFS('Master_Rules'!$G$4:$G$200,'Master_Rules'!$D$4:$D$200,C180))</x:f>
      </x:c>
      <x:c r="L180" s="75" t="str">
        <x:f>IF($C180="","",SUMIFS('Master_Rules'!$H$4:$H$200,'Master_Rules'!$D$4:$D$200,C180))</x:f>
      </x:c>
      <x:c r="M180" s="75" t="str">
        <x:f>IF($C180="","",IF(K180=0,J180,MAX(K180,CEILING(J180,L180))))</x:f>
      </x:c>
      <x:c r="N180" s="75" t="str">
        <x:f>IF($C180="","",SUMIFS('Input_OL'!$G$4:$G$200,'Input_OL'!$C$4:$C$200,C180,'Input_OL'!$F$4:$F$200,B180))</x:f>
      </x:c>
      <x:c r="O180" s="75" t="str">
        <x:f>IF($C180="","",SUMIFS('Input_OL'!$G$4:$G$200,'Input_OL'!$C$4:$C$200,C180,'Input_OL'!$F$4:$F$200,B180))</x:f>
      </x:c>
      <x:c r="P180" s="75" t="str">
        <x:f>IF($C180="","",IF(N180=0,"확인필요",IF(ABS(M180-N180)/N180&lt;=0.2,"정상","Rule초과")))</x:f>
      </x:c>
      <x:c r="Q180" s="75" t="str">
        <x:f>IF($C180="","",IF(O180=0,"확인필요",IF(ABS(M180-O180)/O180&lt;=0.3,"정상","Rule초과")))</x:f>
      </x:c>
      <x:c r="R180" s="75" t="str">
        <x:f>IF($C180="","",M180)</x:f>
      </x:c>
      <x:c r="S180" s="75" t="str">
        <x:f>IF($C180="","",R180*SUMIFS('Master_Rules'!$J$4:$J$200,'Master_Rules'!$D$4:$D$200,C180))</x:f>
      </x:c>
      <x:c r="T180" s="72" t="str">
        <x:f>IF($C180="","",IF(OR(P180="Rule초과",Q180="Rule초과"),"Flex 확인",IF(R180&gt;J180,"MOQ 조정","정상")))</x:f>
      </x:c>
    </x:row>
    <x:row r="181">
      <x:c r="A181" s="71"/>
      <x:c r="B181" s="71"/>
      <x:c r="C181" s="72"/>
      <x:c r="D181" s="72"/>
      <x:c r="E181" s="72"/>
      <x:c r="F181" s="75" t="str">
        <x:f>IF($C181="","",SUMIFS('Input_OL'!$K$4:$K$200,'Input_OL'!$C$4:$C$200,C181,'Input_OL'!$F$4:$F$200,B181))</x:f>
      </x:c>
      <x:c r="G181" s="75" t="str">
        <x:f>IF($C181="","",SUMIFS('Input_Inventory'!$G$4:$G$200,'Input_Inventory'!$C$4:$C$200,C181))</x:f>
      </x:c>
      <x:c r="H181" s="75" t="str">
        <x:f>IF($C181="","",SUMIFS('Input_Inventory'!$L$4:$L$200,'Input_Inventory'!$C$4:$C$200,C181,'Input_Inventory'!$F$4:$F$200,B181))</x:f>
      </x:c>
      <x:c r="I181" s="75" t="str">
        <x:f>IF($C181="","",G181+H181)</x:f>
      </x:c>
      <x:c r="J181" s="75" t="str">
        <x:f>IF($C181="","",MAX(0,F181-I181))</x:f>
      </x:c>
      <x:c r="K181" s="75" t="str">
        <x:f>IF($C181="","",SUMIFS('Master_Rules'!$G$4:$G$200,'Master_Rules'!$D$4:$D$200,C181))</x:f>
      </x:c>
      <x:c r="L181" s="75" t="str">
        <x:f>IF($C181="","",SUMIFS('Master_Rules'!$H$4:$H$200,'Master_Rules'!$D$4:$D$200,C181))</x:f>
      </x:c>
      <x:c r="M181" s="75" t="str">
        <x:f>IF($C181="","",IF(K181=0,J181,MAX(K181,CEILING(J181,L181))))</x:f>
      </x:c>
      <x:c r="N181" s="75" t="str">
        <x:f>IF($C181="","",SUMIFS('Input_OL'!$G$4:$G$200,'Input_OL'!$C$4:$C$200,C181,'Input_OL'!$F$4:$F$200,B181))</x:f>
      </x:c>
      <x:c r="O181" s="75" t="str">
        <x:f>IF($C181="","",SUMIFS('Input_OL'!$G$4:$G$200,'Input_OL'!$C$4:$C$200,C181,'Input_OL'!$F$4:$F$200,B181))</x:f>
      </x:c>
      <x:c r="P181" s="75" t="str">
        <x:f>IF($C181="","",IF(N181=0,"확인필요",IF(ABS(M181-N181)/N181&lt;=0.2,"정상","Rule초과")))</x:f>
      </x:c>
      <x:c r="Q181" s="75" t="str">
        <x:f>IF($C181="","",IF(O181=0,"확인필요",IF(ABS(M181-O181)/O181&lt;=0.3,"정상","Rule초과")))</x:f>
      </x:c>
      <x:c r="R181" s="75" t="str">
        <x:f>IF($C181="","",M181)</x:f>
      </x:c>
      <x:c r="S181" s="75" t="str">
        <x:f>IF($C181="","",R181*SUMIFS('Master_Rules'!$J$4:$J$200,'Master_Rules'!$D$4:$D$200,C181))</x:f>
      </x:c>
      <x:c r="T181" s="72" t="str">
        <x:f>IF($C181="","",IF(OR(P181="Rule초과",Q181="Rule초과"),"Flex 확인",IF(R181&gt;J181,"MOQ 조정","정상")))</x:f>
      </x:c>
    </x:row>
    <x:row r="182">
      <x:c r="A182" s="71"/>
      <x:c r="B182" s="71"/>
      <x:c r="C182" s="72"/>
      <x:c r="D182" s="72"/>
      <x:c r="E182" s="72"/>
      <x:c r="F182" s="75" t="str">
        <x:f>IF($C182="","",SUMIFS('Input_OL'!$K$4:$K$200,'Input_OL'!$C$4:$C$200,C182,'Input_OL'!$F$4:$F$200,B182))</x:f>
      </x:c>
      <x:c r="G182" s="75" t="str">
        <x:f>IF($C182="","",SUMIFS('Input_Inventory'!$G$4:$G$200,'Input_Inventory'!$C$4:$C$200,C182))</x:f>
      </x:c>
      <x:c r="H182" s="75" t="str">
        <x:f>IF($C182="","",SUMIFS('Input_Inventory'!$L$4:$L$200,'Input_Inventory'!$C$4:$C$200,C182,'Input_Inventory'!$F$4:$F$200,B182))</x:f>
      </x:c>
      <x:c r="I182" s="75" t="str">
        <x:f>IF($C182="","",G182+H182)</x:f>
      </x:c>
      <x:c r="J182" s="75" t="str">
        <x:f>IF($C182="","",MAX(0,F182-I182))</x:f>
      </x:c>
      <x:c r="K182" s="75" t="str">
        <x:f>IF($C182="","",SUMIFS('Master_Rules'!$G$4:$G$200,'Master_Rules'!$D$4:$D$200,C182))</x:f>
      </x:c>
      <x:c r="L182" s="75" t="str">
        <x:f>IF($C182="","",SUMIFS('Master_Rules'!$H$4:$H$200,'Master_Rules'!$D$4:$D$200,C182))</x:f>
      </x:c>
      <x:c r="M182" s="75" t="str">
        <x:f>IF($C182="","",IF(K182=0,J182,MAX(K182,CEILING(J182,L182))))</x:f>
      </x:c>
      <x:c r="N182" s="75" t="str">
        <x:f>IF($C182="","",SUMIFS('Input_OL'!$G$4:$G$200,'Input_OL'!$C$4:$C$200,C182,'Input_OL'!$F$4:$F$200,B182))</x:f>
      </x:c>
      <x:c r="O182" s="75" t="str">
        <x:f>IF($C182="","",SUMIFS('Input_OL'!$G$4:$G$200,'Input_OL'!$C$4:$C$200,C182,'Input_OL'!$F$4:$F$200,B182))</x:f>
      </x:c>
      <x:c r="P182" s="75" t="str">
        <x:f>IF($C182="","",IF(N182=0,"확인필요",IF(ABS(M182-N182)/N182&lt;=0.2,"정상","Rule초과")))</x:f>
      </x:c>
      <x:c r="Q182" s="75" t="str">
        <x:f>IF($C182="","",IF(O182=0,"확인필요",IF(ABS(M182-O182)/O182&lt;=0.3,"정상","Rule초과")))</x:f>
      </x:c>
      <x:c r="R182" s="75" t="str">
        <x:f>IF($C182="","",M182)</x:f>
      </x:c>
      <x:c r="S182" s="75" t="str">
        <x:f>IF($C182="","",R182*SUMIFS('Master_Rules'!$J$4:$J$200,'Master_Rules'!$D$4:$D$200,C182))</x:f>
      </x:c>
      <x:c r="T182" s="72" t="str">
        <x:f>IF($C182="","",IF(OR(P182="Rule초과",Q182="Rule초과"),"Flex 확인",IF(R182&gt;J182,"MOQ 조정","정상")))</x:f>
      </x:c>
    </x:row>
    <x:row r="183">
      <x:c r="A183" s="71"/>
      <x:c r="B183" s="71"/>
      <x:c r="C183" s="72"/>
      <x:c r="D183" s="72"/>
      <x:c r="E183" s="72"/>
      <x:c r="F183" s="75" t="str">
        <x:f>IF($C183="","",SUMIFS('Input_OL'!$K$4:$K$200,'Input_OL'!$C$4:$C$200,C183,'Input_OL'!$F$4:$F$200,B183))</x:f>
      </x:c>
      <x:c r="G183" s="75" t="str">
        <x:f>IF($C183="","",SUMIFS('Input_Inventory'!$G$4:$G$200,'Input_Inventory'!$C$4:$C$200,C183))</x:f>
      </x:c>
      <x:c r="H183" s="75" t="str">
        <x:f>IF($C183="","",SUMIFS('Input_Inventory'!$L$4:$L$200,'Input_Inventory'!$C$4:$C$200,C183,'Input_Inventory'!$F$4:$F$200,B183))</x:f>
      </x:c>
      <x:c r="I183" s="75" t="str">
        <x:f>IF($C183="","",G183+H183)</x:f>
      </x:c>
      <x:c r="J183" s="75" t="str">
        <x:f>IF($C183="","",MAX(0,F183-I183))</x:f>
      </x:c>
      <x:c r="K183" s="75" t="str">
        <x:f>IF($C183="","",SUMIFS('Master_Rules'!$G$4:$G$200,'Master_Rules'!$D$4:$D$200,C183))</x:f>
      </x:c>
      <x:c r="L183" s="75" t="str">
        <x:f>IF($C183="","",SUMIFS('Master_Rules'!$H$4:$H$200,'Master_Rules'!$D$4:$D$200,C183))</x:f>
      </x:c>
      <x:c r="M183" s="75" t="str">
        <x:f>IF($C183="","",IF(K183=0,J183,MAX(K183,CEILING(J183,L183))))</x:f>
      </x:c>
      <x:c r="N183" s="75" t="str">
        <x:f>IF($C183="","",SUMIFS('Input_OL'!$G$4:$G$200,'Input_OL'!$C$4:$C$200,C183,'Input_OL'!$F$4:$F$200,B183))</x:f>
      </x:c>
      <x:c r="O183" s="75" t="str">
        <x:f>IF($C183="","",SUMIFS('Input_OL'!$G$4:$G$200,'Input_OL'!$C$4:$C$200,C183,'Input_OL'!$F$4:$F$200,B183))</x:f>
      </x:c>
      <x:c r="P183" s="75" t="str">
        <x:f>IF($C183="","",IF(N183=0,"확인필요",IF(ABS(M183-N183)/N183&lt;=0.2,"정상","Rule초과")))</x:f>
      </x:c>
      <x:c r="Q183" s="75" t="str">
        <x:f>IF($C183="","",IF(O183=0,"확인필요",IF(ABS(M183-O183)/O183&lt;=0.3,"정상","Rule초과")))</x:f>
      </x:c>
      <x:c r="R183" s="75" t="str">
        <x:f>IF($C183="","",M183)</x:f>
      </x:c>
      <x:c r="S183" s="75" t="str">
        <x:f>IF($C183="","",R183*SUMIFS('Master_Rules'!$J$4:$J$200,'Master_Rules'!$D$4:$D$200,C183))</x:f>
      </x:c>
      <x:c r="T183" s="72" t="str">
        <x:f>IF($C183="","",IF(OR(P183="Rule초과",Q183="Rule초과"),"Flex 확인",IF(R183&gt;J183,"MOQ 조정","정상")))</x:f>
      </x:c>
    </x:row>
    <x:row r="184">
      <x:c r="A184" s="71"/>
      <x:c r="B184" s="71"/>
      <x:c r="C184" s="72"/>
      <x:c r="D184" s="72"/>
      <x:c r="E184" s="72"/>
      <x:c r="F184" s="75" t="str">
        <x:f>IF($C184="","",SUMIFS('Input_OL'!$K$4:$K$200,'Input_OL'!$C$4:$C$200,C184,'Input_OL'!$F$4:$F$200,B184))</x:f>
      </x:c>
      <x:c r="G184" s="75" t="str">
        <x:f>IF($C184="","",SUMIFS('Input_Inventory'!$G$4:$G$200,'Input_Inventory'!$C$4:$C$200,C184))</x:f>
      </x:c>
      <x:c r="H184" s="75" t="str">
        <x:f>IF($C184="","",SUMIFS('Input_Inventory'!$L$4:$L$200,'Input_Inventory'!$C$4:$C$200,C184,'Input_Inventory'!$F$4:$F$200,B184))</x:f>
      </x:c>
      <x:c r="I184" s="75" t="str">
        <x:f>IF($C184="","",G184+H184)</x:f>
      </x:c>
      <x:c r="J184" s="75" t="str">
        <x:f>IF($C184="","",MAX(0,F184-I184))</x:f>
      </x:c>
      <x:c r="K184" s="75" t="str">
        <x:f>IF($C184="","",SUMIFS('Master_Rules'!$G$4:$G$200,'Master_Rules'!$D$4:$D$200,C184))</x:f>
      </x:c>
      <x:c r="L184" s="75" t="str">
        <x:f>IF($C184="","",SUMIFS('Master_Rules'!$H$4:$H$200,'Master_Rules'!$D$4:$D$200,C184))</x:f>
      </x:c>
      <x:c r="M184" s="75" t="str">
        <x:f>IF($C184="","",IF(K184=0,J184,MAX(K184,CEILING(J184,L184))))</x:f>
      </x:c>
      <x:c r="N184" s="75" t="str">
        <x:f>IF($C184="","",SUMIFS('Input_OL'!$G$4:$G$200,'Input_OL'!$C$4:$C$200,C184,'Input_OL'!$F$4:$F$200,B184))</x:f>
      </x:c>
      <x:c r="O184" s="75" t="str">
        <x:f>IF($C184="","",SUMIFS('Input_OL'!$G$4:$G$200,'Input_OL'!$C$4:$C$200,C184,'Input_OL'!$F$4:$F$200,B184))</x:f>
      </x:c>
      <x:c r="P184" s="75" t="str">
        <x:f>IF($C184="","",IF(N184=0,"확인필요",IF(ABS(M184-N184)/N184&lt;=0.2,"정상","Rule초과")))</x:f>
      </x:c>
      <x:c r="Q184" s="75" t="str">
        <x:f>IF($C184="","",IF(O184=0,"확인필요",IF(ABS(M184-O184)/O184&lt;=0.3,"정상","Rule초과")))</x:f>
      </x:c>
      <x:c r="R184" s="75" t="str">
        <x:f>IF($C184="","",M184)</x:f>
      </x:c>
      <x:c r="S184" s="75" t="str">
        <x:f>IF($C184="","",R184*SUMIFS('Master_Rules'!$J$4:$J$200,'Master_Rules'!$D$4:$D$200,C184))</x:f>
      </x:c>
      <x:c r="T184" s="72" t="str">
        <x:f>IF($C184="","",IF(OR(P184="Rule초과",Q184="Rule초과"),"Flex 확인",IF(R184&gt;J184,"MOQ 조정","정상")))</x:f>
      </x:c>
    </x:row>
    <x:row r="185">
      <x:c r="A185" s="71"/>
      <x:c r="B185" s="71"/>
      <x:c r="C185" s="72"/>
      <x:c r="D185" s="72"/>
      <x:c r="E185" s="72"/>
      <x:c r="F185" s="75" t="str">
        <x:f>IF($C185="","",SUMIFS('Input_OL'!$K$4:$K$200,'Input_OL'!$C$4:$C$200,C185,'Input_OL'!$F$4:$F$200,B185))</x:f>
      </x:c>
      <x:c r="G185" s="75" t="str">
        <x:f>IF($C185="","",SUMIFS('Input_Inventory'!$G$4:$G$200,'Input_Inventory'!$C$4:$C$200,C185))</x:f>
      </x:c>
      <x:c r="H185" s="75" t="str">
        <x:f>IF($C185="","",SUMIFS('Input_Inventory'!$L$4:$L$200,'Input_Inventory'!$C$4:$C$200,C185,'Input_Inventory'!$F$4:$F$200,B185))</x:f>
      </x:c>
      <x:c r="I185" s="75" t="str">
        <x:f>IF($C185="","",G185+H185)</x:f>
      </x:c>
      <x:c r="J185" s="75" t="str">
        <x:f>IF($C185="","",MAX(0,F185-I185))</x:f>
      </x:c>
      <x:c r="K185" s="75" t="str">
        <x:f>IF($C185="","",SUMIFS('Master_Rules'!$G$4:$G$200,'Master_Rules'!$D$4:$D$200,C185))</x:f>
      </x:c>
      <x:c r="L185" s="75" t="str">
        <x:f>IF($C185="","",SUMIFS('Master_Rules'!$H$4:$H$200,'Master_Rules'!$D$4:$D$200,C185))</x:f>
      </x:c>
      <x:c r="M185" s="75" t="str">
        <x:f>IF($C185="","",IF(K185=0,J185,MAX(K185,CEILING(J185,L185))))</x:f>
      </x:c>
      <x:c r="N185" s="75" t="str">
        <x:f>IF($C185="","",SUMIFS('Input_OL'!$G$4:$G$200,'Input_OL'!$C$4:$C$200,C185,'Input_OL'!$F$4:$F$200,B185))</x:f>
      </x:c>
      <x:c r="O185" s="75" t="str">
        <x:f>IF($C185="","",SUMIFS('Input_OL'!$G$4:$G$200,'Input_OL'!$C$4:$C$200,C185,'Input_OL'!$F$4:$F$200,B185))</x:f>
      </x:c>
      <x:c r="P185" s="75" t="str">
        <x:f>IF($C185="","",IF(N185=0,"확인필요",IF(ABS(M185-N185)/N185&lt;=0.2,"정상","Rule초과")))</x:f>
      </x:c>
      <x:c r="Q185" s="75" t="str">
        <x:f>IF($C185="","",IF(O185=0,"확인필요",IF(ABS(M185-O185)/O185&lt;=0.3,"정상","Rule초과")))</x:f>
      </x:c>
      <x:c r="R185" s="75" t="str">
        <x:f>IF($C185="","",M185)</x:f>
      </x:c>
      <x:c r="S185" s="75" t="str">
        <x:f>IF($C185="","",R185*SUMIFS('Master_Rules'!$J$4:$J$200,'Master_Rules'!$D$4:$D$200,C185))</x:f>
      </x:c>
      <x:c r="T185" s="72" t="str">
        <x:f>IF($C185="","",IF(OR(P185="Rule초과",Q185="Rule초과"),"Flex 확인",IF(R185&gt;J185,"MOQ 조정","정상")))</x:f>
      </x:c>
    </x:row>
    <x:row r="186">
      <x:c r="A186" s="71"/>
      <x:c r="B186" s="71"/>
      <x:c r="C186" s="72"/>
      <x:c r="D186" s="72"/>
      <x:c r="E186" s="72"/>
      <x:c r="F186" s="75" t="str">
        <x:f>IF($C186="","",SUMIFS('Input_OL'!$K$4:$K$200,'Input_OL'!$C$4:$C$200,C186,'Input_OL'!$F$4:$F$200,B186))</x:f>
      </x:c>
      <x:c r="G186" s="75" t="str">
        <x:f>IF($C186="","",SUMIFS('Input_Inventory'!$G$4:$G$200,'Input_Inventory'!$C$4:$C$200,C186))</x:f>
      </x:c>
      <x:c r="H186" s="75" t="str">
        <x:f>IF($C186="","",SUMIFS('Input_Inventory'!$L$4:$L$200,'Input_Inventory'!$C$4:$C$200,C186,'Input_Inventory'!$F$4:$F$200,B186))</x:f>
      </x:c>
      <x:c r="I186" s="75" t="str">
        <x:f>IF($C186="","",G186+H186)</x:f>
      </x:c>
      <x:c r="J186" s="75" t="str">
        <x:f>IF($C186="","",MAX(0,F186-I186))</x:f>
      </x:c>
      <x:c r="K186" s="75" t="str">
        <x:f>IF($C186="","",SUMIFS('Master_Rules'!$G$4:$G$200,'Master_Rules'!$D$4:$D$200,C186))</x:f>
      </x:c>
      <x:c r="L186" s="75" t="str">
        <x:f>IF($C186="","",SUMIFS('Master_Rules'!$H$4:$H$200,'Master_Rules'!$D$4:$D$200,C186))</x:f>
      </x:c>
      <x:c r="M186" s="75" t="str">
        <x:f>IF($C186="","",IF(K186=0,J186,MAX(K186,CEILING(J186,L186))))</x:f>
      </x:c>
      <x:c r="N186" s="75" t="str">
        <x:f>IF($C186="","",SUMIFS('Input_OL'!$G$4:$G$200,'Input_OL'!$C$4:$C$200,C186,'Input_OL'!$F$4:$F$200,B186))</x:f>
      </x:c>
      <x:c r="O186" s="75" t="str">
        <x:f>IF($C186="","",SUMIFS('Input_OL'!$G$4:$G$200,'Input_OL'!$C$4:$C$200,C186,'Input_OL'!$F$4:$F$200,B186))</x:f>
      </x:c>
      <x:c r="P186" s="75" t="str">
        <x:f>IF($C186="","",IF(N186=0,"확인필요",IF(ABS(M186-N186)/N186&lt;=0.2,"정상","Rule초과")))</x:f>
      </x:c>
      <x:c r="Q186" s="75" t="str">
        <x:f>IF($C186="","",IF(O186=0,"확인필요",IF(ABS(M186-O186)/O186&lt;=0.3,"정상","Rule초과")))</x:f>
      </x:c>
      <x:c r="R186" s="75" t="str">
        <x:f>IF($C186="","",M186)</x:f>
      </x:c>
      <x:c r="S186" s="75" t="str">
        <x:f>IF($C186="","",R186*SUMIFS('Master_Rules'!$J$4:$J$200,'Master_Rules'!$D$4:$D$200,C186))</x:f>
      </x:c>
      <x:c r="T186" s="72" t="str">
        <x:f>IF($C186="","",IF(OR(P186="Rule초과",Q186="Rule초과"),"Flex 확인",IF(R186&gt;J186,"MOQ 조정","정상")))</x:f>
      </x:c>
    </x:row>
    <x:row r="187">
      <x:c r="A187" s="71"/>
      <x:c r="B187" s="71"/>
      <x:c r="C187" s="72"/>
      <x:c r="D187" s="72"/>
      <x:c r="E187" s="72"/>
      <x:c r="F187" s="75" t="str">
        <x:f>IF($C187="","",SUMIFS('Input_OL'!$K$4:$K$200,'Input_OL'!$C$4:$C$200,C187,'Input_OL'!$F$4:$F$200,B187))</x:f>
      </x:c>
      <x:c r="G187" s="75" t="str">
        <x:f>IF($C187="","",SUMIFS('Input_Inventory'!$G$4:$G$200,'Input_Inventory'!$C$4:$C$200,C187))</x:f>
      </x:c>
      <x:c r="H187" s="75" t="str">
        <x:f>IF($C187="","",SUMIFS('Input_Inventory'!$L$4:$L$200,'Input_Inventory'!$C$4:$C$200,C187,'Input_Inventory'!$F$4:$F$200,B187))</x:f>
      </x:c>
      <x:c r="I187" s="75" t="str">
        <x:f>IF($C187="","",G187+H187)</x:f>
      </x:c>
      <x:c r="J187" s="75" t="str">
        <x:f>IF($C187="","",MAX(0,F187-I187))</x:f>
      </x:c>
      <x:c r="K187" s="75" t="str">
        <x:f>IF($C187="","",SUMIFS('Master_Rules'!$G$4:$G$200,'Master_Rules'!$D$4:$D$200,C187))</x:f>
      </x:c>
      <x:c r="L187" s="75" t="str">
        <x:f>IF($C187="","",SUMIFS('Master_Rules'!$H$4:$H$200,'Master_Rules'!$D$4:$D$200,C187))</x:f>
      </x:c>
      <x:c r="M187" s="75" t="str">
        <x:f>IF($C187="","",IF(K187=0,J187,MAX(K187,CEILING(J187,L187))))</x:f>
      </x:c>
      <x:c r="N187" s="75" t="str">
        <x:f>IF($C187="","",SUMIFS('Input_OL'!$G$4:$G$200,'Input_OL'!$C$4:$C$200,C187,'Input_OL'!$F$4:$F$200,B187))</x:f>
      </x:c>
      <x:c r="O187" s="75" t="str">
        <x:f>IF($C187="","",SUMIFS('Input_OL'!$G$4:$G$200,'Input_OL'!$C$4:$C$200,C187,'Input_OL'!$F$4:$F$200,B187))</x:f>
      </x:c>
      <x:c r="P187" s="75" t="str">
        <x:f>IF($C187="","",IF(N187=0,"확인필요",IF(ABS(M187-N187)/N187&lt;=0.2,"정상","Rule초과")))</x:f>
      </x:c>
      <x:c r="Q187" s="75" t="str">
        <x:f>IF($C187="","",IF(O187=0,"확인필요",IF(ABS(M187-O187)/O187&lt;=0.3,"정상","Rule초과")))</x:f>
      </x:c>
      <x:c r="R187" s="75" t="str">
        <x:f>IF($C187="","",M187)</x:f>
      </x:c>
      <x:c r="S187" s="75" t="str">
        <x:f>IF($C187="","",R187*SUMIFS('Master_Rules'!$J$4:$J$200,'Master_Rules'!$D$4:$D$200,C187))</x:f>
      </x:c>
      <x:c r="T187" s="72" t="str">
        <x:f>IF($C187="","",IF(OR(P187="Rule초과",Q187="Rule초과"),"Flex 확인",IF(R187&gt;J187,"MOQ 조정","정상")))</x:f>
      </x:c>
    </x:row>
    <x:row r="188">
      <x:c r="A188" s="71"/>
      <x:c r="B188" s="71"/>
      <x:c r="C188" s="72"/>
      <x:c r="D188" s="72"/>
      <x:c r="E188" s="72"/>
      <x:c r="F188" s="75" t="str">
        <x:f>IF($C188="","",SUMIFS('Input_OL'!$K$4:$K$200,'Input_OL'!$C$4:$C$200,C188,'Input_OL'!$F$4:$F$200,B188))</x:f>
      </x:c>
      <x:c r="G188" s="75" t="str">
        <x:f>IF($C188="","",SUMIFS('Input_Inventory'!$G$4:$G$200,'Input_Inventory'!$C$4:$C$200,C188))</x:f>
      </x:c>
      <x:c r="H188" s="75" t="str">
        <x:f>IF($C188="","",SUMIFS('Input_Inventory'!$L$4:$L$200,'Input_Inventory'!$C$4:$C$200,C188,'Input_Inventory'!$F$4:$F$200,B188))</x:f>
      </x:c>
      <x:c r="I188" s="75" t="str">
        <x:f>IF($C188="","",G188+H188)</x:f>
      </x:c>
      <x:c r="J188" s="75" t="str">
        <x:f>IF($C188="","",MAX(0,F188-I188))</x:f>
      </x:c>
      <x:c r="K188" s="75" t="str">
        <x:f>IF($C188="","",SUMIFS('Master_Rules'!$G$4:$G$200,'Master_Rules'!$D$4:$D$200,C188))</x:f>
      </x:c>
      <x:c r="L188" s="75" t="str">
        <x:f>IF($C188="","",SUMIFS('Master_Rules'!$H$4:$H$200,'Master_Rules'!$D$4:$D$200,C188))</x:f>
      </x:c>
      <x:c r="M188" s="75" t="str">
        <x:f>IF($C188="","",IF(K188=0,J188,MAX(K188,CEILING(J188,L188))))</x:f>
      </x:c>
      <x:c r="N188" s="75" t="str">
        <x:f>IF($C188="","",SUMIFS('Input_OL'!$G$4:$G$200,'Input_OL'!$C$4:$C$200,C188,'Input_OL'!$F$4:$F$200,B188))</x:f>
      </x:c>
      <x:c r="O188" s="75" t="str">
        <x:f>IF($C188="","",SUMIFS('Input_OL'!$G$4:$G$200,'Input_OL'!$C$4:$C$200,C188,'Input_OL'!$F$4:$F$200,B188))</x:f>
      </x:c>
      <x:c r="P188" s="75" t="str">
        <x:f>IF($C188="","",IF(N188=0,"확인필요",IF(ABS(M188-N188)/N188&lt;=0.2,"정상","Rule초과")))</x:f>
      </x:c>
      <x:c r="Q188" s="75" t="str">
        <x:f>IF($C188="","",IF(O188=0,"확인필요",IF(ABS(M188-O188)/O188&lt;=0.3,"정상","Rule초과")))</x:f>
      </x:c>
      <x:c r="R188" s="75" t="str">
        <x:f>IF($C188="","",M188)</x:f>
      </x:c>
      <x:c r="S188" s="75" t="str">
        <x:f>IF($C188="","",R188*SUMIFS('Master_Rules'!$J$4:$J$200,'Master_Rules'!$D$4:$D$200,C188))</x:f>
      </x:c>
      <x:c r="T188" s="72" t="str">
        <x:f>IF($C188="","",IF(OR(P188="Rule초과",Q188="Rule초과"),"Flex 확인",IF(R188&gt;J188,"MOQ 조정","정상")))</x:f>
      </x:c>
    </x:row>
    <x:row r="189">
      <x:c r="A189" s="71"/>
      <x:c r="B189" s="71"/>
      <x:c r="C189" s="72"/>
      <x:c r="D189" s="72"/>
      <x:c r="E189" s="72"/>
      <x:c r="F189" s="75" t="str">
        <x:f>IF($C189="","",SUMIFS('Input_OL'!$K$4:$K$200,'Input_OL'!$C$4:$C$200,C189,'Input_OL'!$F$4:$F$200,B189))</x:f>
      </x:c>
      <x:c r="G189" s="75" t="str">
        <x:f>IF($C189="","",SUMIFS('Input_Inventory'!$G$4:$G$200,'Input_Inventory'!$C$4:$C$200,C189))</x:f>
      </x:c>
      <x:c r="H189" s="75" t="str">
        <x:f>IF($C189="","",SUMIFS('Input_Inventory'!$L$4:$L$200,'Input_Inventory'!$C$4:$C$200,C189,'Input_Inventory'!$F$4:$F$200,B189))</x:f>
      </x:c>
      <x:c r="I189" s="75" t="str">
        <x:f>IF($C189="","",G189+H189)</x:f>
      </x:c>
      <x:c r="J189" s="75" t="str">
        <x:f>IF($C189="","",MAX(0,F189-I189))</x:f>
      </x:c>
      <x:c r="K189" s="75" t="str">
        <x:f>IF($C189="","",SUMIFS('Master_Rules'!$G$4:$G$200,'Master_Rules'!$D$4:$D$200,C189))</x:f>
      </x:c>
      <x:c r="L189" s="75" t="str">
        <x:f>IF($C189="","",SUMIFS('Master_Rules'!$H$4:$H$200,'Master_Rules'!$D$4:$D$200,C189))</x:f>
      </x:c>
      <x:c r="M189" s="75" t="str">
        <x:f>IF($C189="","",IF(K189=0,J189,MAX(K189,CEILING(J189,L189))))</x:f>
      </x:c>
      <x:c r="N189" s="75" t="str">
        <x:f>IF($C189="","",SUMIFS('Input_OL'!$G$4:$G$200,'Input_OL'!$C$4:$C$200,C189,'Input_OL'!$F$4:$F$200,B189))</x:f>
      </x:c>
      <x:c r="O189" s="75" t="str">
        <x:f>IF($C189="","",SUMIFS('Input_OL'!$G$4:$G$200,'Input_OL'!$C$4:$C$200,C189,'Input_OL'!$F$4:$F$200,B189))</x:f>
      </x:c>
      <x:c r="P189" s="75" t="str">
        <x:f>IF($C189="","",IF(N189=0,"확인필요",IF(ABS(M189-N189)/N189&lt;=0.2,"정상","Rule초과")))</x:f>
      </x:c>
      <x:c r="Q189" s="75" t="str">
        <x:f>IF($C189="","",IF(O189=0,"확인필요",IF(ABS(M189-O189)/O189&lt;=0.3,"정상","Rule초과")))</x:f>
      </x:c>
      <x:c r="R189" s="75" t="str">
        <x:f>IF($C189="","",M189)</x:f>
      </x:c>
      <x:c r="S189" s="75" t="str">
        <x:f>IF($C189="","",R189*SUMIFS('Master_Rules'!$J$4:$J$200,'Master_Rules'!$D$4:$D$200,C189))</x:f>
      </x:c>
      <x:c r="T189" s="72" t="str">
        <x:f>IF($C189="","",IF(OR(P189="Rule초과",Q189="Rule초과"),"Flex 확인",IF(R189&gt;J189,"MOQ 조정","정상")))</x:f>
      </x:c>
    </x:row>
    <x:row r="190">
      <x:c r="A190" s="71"/>
      <x:c r="B190" s="71"/>
      <x:c r="C190" s="72"/>
      <x:c r="D190" s="72"/>
      <x:c r="E190" s="72"/>
      <x:c r="F190" s="75" t="str">
        <x:f>IF($C190="","",SUMIFS('Input_OL'!$K$4:$K$200,'Input_OL'!$C$4:$C$200,C190,'Input_OL'!$F$4:$F$200,B190))</x:f>
      </x:c>
      <x:c r="G190" s="75" t="str">
        <x:f>IF($C190="","",SUMIFS('Input_Inventory'!$G$4:$G$200,'Input_Inventory'!$C$4:$C$200,C190))</x:f>
      </x:c>
      <x:c r="H190" s="75" t="str">
        <x:f>IF($C190="","",SUMIFS('Input_Inventory'!$L$4:$L$200,'Input_Inventory'!$C$4:$C$200,C190,'Input_Inventory'!$F$4:$F$200,B190))</x:f>
      </x:c>
      <x:c r="I190" s="75" t="str">
        <x:f>IF($C190="","",G190+H190)</x:f>
      </x:c>
      <x:c r="J190" s="75" t="str">
        <x:f>IF($C190="","",MAX(0,F190-I190))</x:f>
      </x:c>
      <x:c r="K190" s="75" t="str">
        <x:f>IF($C190="","",SUMIFS('Master_Rules'!$G$4:$G$200,'Master_Rules'!$D$4:$D$200,C190))</x:f>
      </x:c>
      <x:c r="L190" s="75" t="str">
        <x:f>IF($C190="","",SUMIFS('Master_Rules'!$H$4:$H$200,'Master_Rules'!$D$4:$D$200,C190))</x:f>
      </x:c>
      <x:c r="M190" s="75" t="str">
        <x:f>IF($C190="","",IF(K190=0,J190,MAX(K190,CEILING(J190,L190))))</x:f>
      </x:c>
      <x:c r="N190" s="75" t="str">
        <x:f>IF($C190="","",SUMIFS('Input_OL'!$G$4:$G$200,'Input_OL'!$C$4:$C$200,C190,'Input_OL'!$F$4:$F$200,B190))</x:f>
      </x:c>
      <x:c r="O190" s="75" t="str">
        <x:f>IF($C190="","",SUMIFS('Input_OL'!$G$4:$G$200,'Input_OL'!$C$4:$C$200,C190,'Input_OL'!$F$4:$F$200,B190))</x:f>
      </x:c>
      <x:c r="P190" s="75" t="str">
        <x:f>IF($C190="","",IF(N190=0,"확인필요",IF(ABS(M190-N190)/N190&lt;=0.2,"정상","Rule초과")))</x:f>
      </x:c>
      <x:c r="Q190" s="75" t="str">
        <x:f>IF($C190="","",IF(O190=0,"확인필요",IF(ABS(M190-O190)/O190&lt;=0.3,"정상","Rule초과")))</x:f>
      </x:c>
      <x:c r="R190" s="75" t="str">
        <x:f>IF($C190="","",M190)</x:f>
      </x:c>
      <x:c r="S190" s="75" t="str">
        <x:f>IF($C190="","",R190*SUMIFS('Master_Rules'!$J$4:$J$200,'Master_Rules'!$D$4:$D$200,C190))</x:f>
      </x:c>
      <x:c r="T190" s="72" t="str">
        <x:f>IF($C190="","",IF(OR(P190="Rule초과",Q190="Rule초과"),"Flex 확인",IF(R190&gt;J190,"MOQ 조정","정상")))</x:f>
      </x:c>
    </x:row>
    <x:row r="191">
      <x:c r="A191" s="71"/>
      <x:c r="B191" s="71"/>
      <x:c r="C191" s="72"/>
      <x:c r="D191" s="72"/>
      <x:c r="E191" s="72"/>
      <x:c r="F191" s="75" t="str">
        <x:f>IF($C191="","",SUMIFS('Input_OL'!$K$4:$K$200,'Input_OL'!$C$4:$C$200,C191,'Input_OL'!$F$4:$F$200,B191))</x:f>
      </x:c>
      <x:c r="G191" s="75" t="str">
        <x:f>IF($C191="","",SUMIFS('Input_Inventory'!$G$4:$G$200,'Input_Inventory'!$C$4:$C$200,C191))</x:f>
      </x:c>
      <x:c r="H191" s="75" t="str">
        <x:f>IF($C191="","",SUMIFS('Input_Inventory'!$L$4:$L$200,'Input_Inventory'!$C$4:$C$200,C191,'Input_Inventory'!$F$4:$F$200,B191))</x:f>
      </x:c>
      <x:c r="I191" s="75" t="str">
        <x:f>IF($C191="","",G191+H191)</x:f>
      </x:c>
      <x:c r="J191" s="75" t="str">
        <x:f>IF($C191="","",MAX(0,F191-I191))</x:f>
      </x:c>
      <x:c r="K191" s="75" t="str">
        <x:f>IF($C191="","",SUMIFS('Master_Rules'!$G$4:$G$200,'Master_Rules'!$D$4:$D$200,C191))</x:f>
      </x:c>
      <x:c r="L191" s="75" t="str">
        <x:f>IF($C191="","",SUMIFS('Master_Rules'!$H$4:$H$200,'Master_Rules'!$D$4:$D$200,C191))</x:f>
      </x:c>
      <x:c r="M191" s="75" t="str">
        <x:f>IF($C191="","",IF(K191=0,J191,MAX(K191,CEILING(J191,L191))))</x:f>
      </x:c>
      <x:c r="N191" s="75" t="str">
        <x:f>IF($C191="","",SUMIFS('Input_OL'!$G$4:$G$200,'Input_OL'!$C$4:$C$200,C191,'Input_OL'!$F$4:$F$200,B191))</x:f>
      </x:c>
      <x:c r="O191" s="75" t="str">
        <x:f>IF($C191="","",SUMIFS('Input_OL'!$G$4:$G$200,'Input_OL'!$C$4:$C$200,C191,'Input_OL'!$F$4:$F$200,B191))</x:f>
      </x:c>
      <x:c r="P191" s="75" t="str">
        <x:f>IF($C191="","",IF(N191=0,"확인필요",IF(ABS(M191-N191)/N191&lt;=0.2,"정상","Rule초과")))</x:f>
      </x:c>
      <x:c r="Q191" s="75" t="str">
        <x:f>IF($C191="","",IF(O191=0,"확인필요",IF(ABS(M191-O191)/O191&lt;=0.3,"정상","Rule초과")))</x:f>
      </x:c>
      <x:c r="R191" s="75" t="str">
        <x:f>IF($C191="","",M191)</x:f>
      </x:c>
      <x:c r="S191" s="75" t="str">
        <x:f>IF($C191="","",R191*SUMIFS('Master_Rules'!$J$4:$J$200,'Master_Rules'!$D$4:$D$200,C191))</x:f>
      </x:c>
      <x:c r="T191" s="72" t="str">
        <x:f>IF($C191="","",IF(OR(P191="Rule초과",Q191="Rule초과"),"Flex 확인",IF(R191&gt;J191,"MOQ 조정","정상")))</x:f>
      </x:c>
    </x:row>
    <x:row r="192">
      <x:c r="A192" s="71"/>
      <x:c r="B192" s="71"/>
      <x:c r="C192" s="72"/>
      <x:c r="D192" s="72"/>
      <x:c r="E192" s="72"/>
      <x:c r="F192" s="75" t="str">
        <x:f>IF($C192="","",SUMIFS('Input_OL'!$K$4:$K$200,'Input_OL'!$C$4:$C$200,C192,'Input_OL'!$F$4:$F$200,B192))</x:f>
      </x:c>
      <x:c r="G192" s="75" t="str">
        <x:f>IF($C192="","",SUMIFS('Input_Inventory'!$G$4:$G$200,'Input_Inventory'!$C$4:$C$200,C192))</x:f>
      </x:c>
      <x:c r="H192" s="75" t="str">
        <x:f>IF($C192="","",SUMIFS('Input_Inventory'!$L$4:$L$200,'Input_Inventory'!$C$4:$C$200,C192,'Input_Inventory'!$F$4:$F$200,B192))</x:f>
      </x:c>
      <x:c r="I192" s="75" t="str">
        <x:f>IF($C192="","",G192+H192)</x:f>
      </x:c>
      <x:c r="J192" s="75" t="str">
        <x:f>IF($C192="","",MAX(0,F192-I192))</x:f>
      </x:c>
      <x:c r="K192" s="75" t="str">
        <x:f>IF($C192="","",SUMIFS('Master_Rules'!$G$4:$G$200,'Master_Rules'!$D$4:$D$200,C192))</x:f>
      </x:c>
      <x:c r="L192" s="75" t="str">
        <x:f>IF($C192="","",SUMIFS('Master_Rules'!$H$4:$H$200,'Master_Rules'!$D$4:$D$200,C192))</x:f>
      </x:c>
      <x:c r="M192" s="75" t="str">
        <x:f>IF($C192="","",IF(K192=0,J192,MAX(K192,CEILING(J192,L192))))</x:f>
      </x:c>
      <x:c r="N192" s="75" t="str">
        <x:f>IF($C192="","",SUMIFS('Input_OL'!$G$4:$G$200,'Input_OL'!$C$4:$C$200,C192,'Input_OL'!$F$4:$F$200,B192))</x:f>
      </x:c>
      <x:c r="O192" s="75" t="str">
        <x:f>IF($C192="","",SUMIFS('Input_OL'!$G$4:$G$200,'Input_OL'!$C$4:$C$200,C192,'Input_OL'!$F$4:$F$200,B192))</x:f>
      </x:c>
      <x:c r="P192" s="75" t="str">
        <x:f>IF($C192="","",IF(N192=0,"확인필요",IF(ABS(M192-N192)/N192&lt;=0.2,"정상","Rule초과")))</x:f>
      </x:c>
      <x:c r="Q192" s="75" t="str">
        <x:f>IF($C192="","",IF(O192=0,"확인필요",IF(ABS(M192-O192)/O192&lt;=0.3,"정상","Rule초과")))</x:f>
      </x:c>
      <x:c r="R192" s="75" t="str">
        <x:f>IF($C192="","",M192)</x:f>
      </x:c>
      <x:c r="S192" s="75" t="str">
        <x:f>IF($C192="","",R192*SUMIFS('Master_Rules'!$J$4:$J$200,'Master_Rules'!$D$4:$D$200,C192))</x:f>
      </x:c>
      <x:c r="T192" s="72" t="str">
        <x:f>IF($C192="","",IF(OR(P192="Rule초과",Q192="Rule초과"),"Flex 확인",IF(R192&gt;J192,"MOQ 조정","정상")))</x:f>
      </x:c>
    </x:row>
    <x:row r="193">
      <x:c r="A193" s="71"/>
      <x:c r="B193" s="71"/>
      <x:c r="C193" s="72"/>
      <x:c r="D193" s="72"/>
      <x:c r="E193" s="72"/>
      <x:c r="F193" s="75" t="str">
        <x:f>IF($C193="","",SUMIFS('Input_OL'!$K$4:$K$200,'Input_OL'!$C$4:$C$200,C193,'Input_OL'!$F$4:$F$200,B193))</x:f>
      </x:c>
      <x:c r="G193" s="75" t="str">
        <x:f>IF($C193="","",SUMIFS('Input_Inventory'!$G$4:$G$200,'Input_Inventory'!$C$4:$C$200,C193))</x:f>
      </x:c>
      <x:c r="H193" s="75" t="str">
        <x:f>IF($C193="","",SUMIFS('Input_Inventory'!$L$4:$L$200,'Input_Inventory'!$C$4:$C$200,C193,'Input_Inventory'!$F$4:$F$200,B193))</x:f>
      </x:c>
      <x:c r="I193" s="75" t="str">
        <x:f>IF($C193="","",G193+H193)</x:f>
      </x:c>
      <x:c r="J193" s="75" t="str">
        <x:f>IF($C193="","",MAX(0,F193-I193))</x:f>
      </x:c>
      <x:c r="K193" s="75" t="str">
        <x:f>IF($C193="","",SUMIFS('Master_Rules'!$G$4:$G$200,'Master_Rules'!$D$4:$D$200,C193))</x:f>
      </x:c>
      <x:c r="L193" s="75" t="str">
        <x:f>IF($C193="","",SUMIFS('Master_Rules'!$H$4:$H$200,'Master_Rules'!$D$4:$D$200,C193))</x:f>
      </x:c>
      <x:c r="M193" s="75" t="str">
        <x:f>IF($C193="","",IF(K193=0,J193,MAX(K193,CEILING(J193,L193))))</x:f>
      </x:c>
      <x:c r="N193" s="75" t="str">
        <x:f>IF($C193="","",SUMIFS('Input_OL'!$G$4:$G$200,'Input_OL'!$C$4:$C$200,C193,'Input_OL'!$F$4:$F$200,B193))</x:f>
      </x:c>
      <x:c r="O193" s="75" t="str">
        <x:f>IF($C193="","",SUMIFS('Input_OL'!$G$4:$G$200,'Input_OL'!$C$4:$C$200,C193,'Input_OL'!$F$4:$F$200,B193))</x:f>
      </x:c>
      <x:c r="P193" s="75" t="str">
        <x:f>IF($C193="","",IF(N193=0,"확인필요",IF(ABS(M193-N193)/N193&lt;=0.2,"정상","Rule초과")))</x:f>
      </x:c>
      <x:c r="Q193" s="75" t="str">
        <x:f>IF($C193="","",IF(O193=0,"확인필요",IF(ABS(M193-O193)/O193&lt;=0.3,"정상","Rule초과")))</x:f>
      </x:c>
      <x:c r="R193" s="75" t="str">
        <x:f>IF($C193="","",M193)</x:f>
      </x:c>
      <x:c r="S193" s="75" t="str">
        <x:f>IF($C193="","",R193*SUMIFS('Master_Rules'!$J$4:$J$200,'Master_Rules'!$D$4:$D$200,C193))</x:f>
      </x:c>
      <x:c r="T193" s="72" t="str">
        <x:f>IF($C193="","",IF(OR(P193="Rule초과",Q193="Rule초과"),"Flex 확인",IF(R193&gt;J193,"MOQ 조정","정상")))</x:f>
      </x:c>
    </x:row>
    <x:row r="194">
      <x:c r="A194" s="71"/>
      <x:c r="B194" s="71"/>
      <x:c r="C194" s="72"/>
      <x:c r="D194" s="72"/>
      <x:c r="E194" s="72"/>
      <x:c r="F194" s="75" t="str">
        <x:f>IF($C194="","",SUMIFS('Input_OL'!$K$4:$K$200,'Input_OL'!$C$4:$C$200,C194,'Input_OL'!$F$4:$F$200,B194))</x:f>
      </x:c>
      <x:c r="G194" s="75" t="str">
        <x:f>IF($C194="","",SUMIFS('Input_Inventory'!$G$4:$G$200,'Input_Inventory'!$C$4:$C$200,C194))</x:f>
      </x:c>
      <x:c r="H194" s="75" t="str">
        <x:f>IF($C194="","",SUMIFS('Input_Inventory'!$L$4:$L$200,'Input_Inventory'!$C$4:$C$200,C194,'Input_Inventory'!$F$4:$F$200,B194))</x:f>
      </x:c>
      <x:c r="I194" s="75" t="str">
        <x:f>IF($C194="","",G194+H194)</x:f>
      </x:c>
      <x:c r="J194" s="75" t="str">
        <x:f>IF($C194="","",MAX(0,F194-I194))</x:f>
      </x:c>
      <x:c r="K194" s="75" t="str">
        <x:f>IF($C194="","",SUMIFS('Master_Rules'!$G$4:$G$200,'Master_Rules'!$D$4:$D$200,C194))</x:f>
      </x:c>
      <x:c r="L194" s="75" t="str">
        <x:f>IF($C194="","",SUMIFS('Master_Rules'!$H$4:$H$200,'Master_Rules'!$D$4:$D$200,C194))</x:f>
      </x:c>
      <x:c r="M194" s="75" t="str">
        <x:f>IF($C194="","",IF(K194=0,J194,MAX(K194,CEILING(J194,L194))))</x:f>
      </x:c>
      <x:c r="N194" s="75" t="str">
        <x:f>IF($C194="","",SUMIFS('Input_OL'!$G$4:$G$200,'Input_OL'!$C$4:$C$200,C194,'Input_OL'!$F$4:$F$200,B194))</x:f>
      </x:c>
      <x:c r="O194" s="75" t="str">
        <x:f>IF($C194="","",SUMIFS('Input_OL'!$G$4:$G$200,'Input_OL'!$C$4:$C$200,C194,'Input_OL'!$F$4:$F$200,B194))</x:f>
      </x:c>
      <x:c r="P194" s="75" t="str">
        <x:f>IF($C194="","",IF(N194=0,"확인필요",IF(ABS(M194-N194)/N194&lt;=0.2,"정상","Rule초과")))</x:f>
      </x:c>
      <x:c r="Q194" s="75" t="str">
        <x:f>IF($C194="","",IF(O194=0,"확인필요",IF(ABS(M194-O194)/O194&lt;=0.3,"정상","Rule초과")))</x:f>
      </x:c>
      <x:c r="R194" s="75" t="str">
        <x:f>IF($C194="","",M194)</x:f>
      </x:c>
      <x:c r="S194" s="75" t="str">
        <x:f>IF($C194="","",R194*SUMIFS('Master_Rules'!$J$4:$J$200,'Master_Rules'!$D$4:$D$200,C194))</x:f>
      </x:c>
      <x:c r="T194" s="72" t="str">
        <x:f>IF($C194="","",IF(OR(P194="Rule초과",Q194="Rule초과"),"Flex 확인",IF(R194&gt;J194,"MOQ 조정","정상")))</x:f>
      </x:c>
    </x:row>
    <x:row r="195">
      <x:c r="A195" s="71"/>
      <x:c r="B195" s="71"/>
      <x:c r="C195" s="72"/>
      <x:c r="D195" s="72"/>
      <x:c r="E195" s="72"/>
      <x:c r="F195" s="75" t="str">
        <x:f>IF($C195="","",SUMIFS('Input_OL'!$K$4:$K$200,'Input_OL'!$C$4:$C$200,C195,'Input_OL'!$F$4:$F$200,B195))</x:f>
      </x:c>
      <x:c r="G195" s="75" t="str">
        <x:f>IF($C195="","",SUMIFS('Input_Inventory'!$G$4:$G$200,'Input_Inventory'!$C$4:$C$200,C195))</x:f>
      </x:c>
      <x:c r="H195" s="75" t="str">
        <x:f>IF($C195="","",SUMIFS('Input_Inventory'!$L$4:$L$200,'Input_Inventory'!$C$4:$C$200,C195,'Input_Inventory'!$F$4:$F$200,B195))</x:f>
      </x:c>
      <x:c r="I195" s="75" t="str">
        <x:f>IF($C195="","",G195+H195)</x:f>
      </x:c>
      <x:c r="J195" s="75" t="str">
        <x:f>IF($C195="","",MAX(0,F195-I195))</x:f>
      </x:c>
      <x:c r="K195" s="75" t="str">
        <x:f>IF($C195="","",SUMIFS('Master_Rules'!$G$4:$G$200,'Master_Rules'!$D$4:$D$200,C195))</x:f>
      </x:c>
      <x:c r="L195" s="75" t="str">
        <x:f>IF($C195="","",SUMIFS('Master_Rules'!$H$4:$H$200,'Master_Rules'!$D$4:$D$200,C195))</x:f>
      </x:c>
      <x:c r="M195" s="75" t="str">
        <x:f>IF($C195="","",IF(K195=0,J195,MAX(K195,CEILING(J195,L195))))</x:f>
      </x:c>
      <x:c r="N195" s="75" t="str">
        <x:f>IF($C195="","",SUMIFS('Input_OL'!$G$4:$G$200,'Input_OL'!$C$4:$C$200,C195,'Input_OL'!$F$4:$F$200,B195))</x:f>
      </x:c>
      <x:c r="O195" s="75" t="str">
        <x:f>IF($C195="","",SUMIFS('Input_OL'!$G$4:$G$200,'Input_OL'!$C$4:$C$200,C195,'Input_OL'!$F$4:$F$200,B195))</x:f>
      </x:c>
      <x:c r="P195" s="75" t="str">
        <x:f>IF($C195="","",IF(N195=0,"확인필요",IF(ABS(M195-N195)/N195&lt;=0.2,"정상","Rule초과")))</x:f>
      </x:c>
      <x:c r="Q195" s="75" t="str">
        <x:f>IF($C195="","",IF(O195=0,"확인필요",IF(ABS(M195-O195)/O195&lt;=0.3,"정상","Rule초과")))</x:f>
      </x:c>
      <x:c r="R195" s="75" t="str">
        <x:f>IF($C195="","",M195)</x:f>
      </x:c>
      <x:c r="S195" s="75" t="str">
        <x:f>IF($C195="","",R195*SUMIFS('Master_Rules'!$J$4:$J$200,'Master_Rules'!$D$4:$D$200,C195))</x:f>
      </x:c>
      <x:c r="T195" s="72" t="str">
        <x:f>IF($C195="","",IF(OR(P195="Rule초과",Q195="Rule초과"),"Flex 확인",IF(R195&gt;J195,"MOQ 조정","정상")))</x:f>
      </x:c>
    </x:row>
    <x:row r="196">
      <x:c r="A196" s="71"/>
      <x:c r="B196" s="71"/>
      <x:c r="C196" s="72"/>
      <x:c r="D196" s="72"/>
      <x:c r="E196" s="72"/>
      <x:c r="F196" s="75" t="str">
        <x:f>IF($C196="","",SUMIFS('Input_OL'!$K$4:$K$200,'Input_OL'!$C$4:$C$200,C196,'Input_OL'!$F$4:$F$200,B196))</x:f>
      </x:c>
      <x:c r="G196" s="75" t="str">
        <x:f>IF($C196="","",SUMIFS('Input_Inventory'!$G$4:$G$200,'Input_Inventory'!$C$4:$C$200,C196))</x:f>
      </x:c>
      <x:c r="H196" s="75" t="str">
        <x:f>IF($C196="","",SUMIFS('Input_Inventory'!$L$4:$L$200,'Input_Inventory'!$C$4:$C$200,C196,'Input_Inventory'!$F$4:$F$200,B196))</x:f>
      </x:c>
      <x:c r="I196" s="75" t="str">
        <x:f>IF($C196="","",G196+H196)</x:f>
      </x:c>
      <x:c r="J196" s="75" t="str">
        <x:f>IF($C196="","",MAX(0,F196-I196))</x:f>
      </x:c>
      <x:c r="K196" s="75" t="str">
        <x:f>IF($C196="","",SUMIFS('Master_Rules'!$G$4:$G$200,'Master_Rules'!$D$4:$D$200,C196))</x:f>
      </x:c>
      <x:c r="L196" s="75" t="str">
        <x:f>IF($C196="","",SUMIFS('Master_Rules'!$H$4:$H$200,'Master_Rules'!$D$4:$D$200,C196))</x:f>
      </x:c>
      <x:c r="M196" s="75" t="str">
        <x:f>IF($C196="","",IF(K196=0,J196,MAX(K196,CEILING(J196,L196))))</x:f>
      </x:c>
      <x:c r="N196" s="75" t="str">
        <x:f>IF($C196="","",SUMIFS('Input_OL'!$G$4:$G$200,'Input_OL'!$C$4:$C$200,C196,'Input_OL'!$F$4:$F$200,B196))</x:f>
      </x:c>
      <x:c r="O196" s="75" t="str">
        <x:f>IF($C196="","",SUMIFS('Input_OL'!$G$4:$G$200,'Input_OL'!$C$4:$C$200,C196,'Input_OL'!$F$4:$F$200,B196))</x:f>
      </x:c>
      <x:c r="P196" s="75" t="str">
        <x:f>IF($C196="","",IF(N196=0,"확인필요",IF(ABS(M196-N196)/N196&lt;=0.2,"정상","Rule초과")))</x:f>
      </x:c>
      <x:c r="Q196" s="75" t="str">
        <x:f>IF($C196="","",IF(O196=0,"확인필요",IF(ABS(M196-O196)/O196&lt;=0.3,"정상","Rule초과")))</x:f>
      </x:c>
      <x:c r="R196" s="75" t="str">
        <x:f>IF($C196="","",M196)</x:f>
      </x:c>
      <x:c r="S196" s="75" t="str">
        <x:f>IF($C196="","",R196*SUMIFS('Master_Rules'!$J$4:$J$200,'Master_Rules'!$D$4:$D$200,C196))</x:f>
      </x:c>
      <x:c r="T196" s="72" t="str">
        <x:f>IF($C196="","",IF(OR(P196="Rule초과",Q196="Rule초과"),"Flex 확인",IF(R196&gt;J196,"MOQ 조정","정상")))</x:f>
      </x:c>
    </x:row>
    <x:row r="197">
      <x:c r="A197" s="71"/>
      <x:c r="B197" s="71"/>
      <x:c r="C197" s="72"/>
      <x:c r="D197" s="72"/>
      <x:c r="E197" s="72"/>
      <x:c r="F197" s="75" t="str">
        <x:f>IF($C197="","",SUMIFS('Input_OL'!$K$4:$K$200,'Input_OL'!$C$4:$C$200,C197,'Input_OL'!$F$4:$F$200,B197))</x:f>
      </x:c>
      <x:c r="G197" s="75" t="str">
        <x:f>IF($C197="","",SUMIFS('Input_Inventory'!$G$4:$G$200,'Input_Inventory'!$C$4:$C$200,C197))</x:f>
      </x:c>
      <x:c r="H197" s="75" t="str">
        <x:f>IF($C197="","",SUMIFS('Input_Inventory'!$L$4:$L$200,'Input_Inventory'!$C$4:$C$200,C197,'Input_Inventory'!$F$4:$F$200,B197))</x:f>
      </x:c>
      <x:c r="I197" s="75" t="str">
        <x:f>IF($C197="","",G197+H197)</x:f>
      </x:c>
      <x:c r="J197" s="75" t="str">
        <x:f>IF($C197="","",MAX(0,F197-I197))</x:f>
      </x:c>
      <x:c r="K197" s="75" t="str">
        <x:f>IF($C197="","",SUMIFS('Master_Rules'!$G$4:$G$200,'Master_Rules'!$D$4:$D$200,C197))</x:f>
      </x:c>
      <x:c r="L197" s="75" t="str">
        <x:f>IF($C197="","",SUMIFS('Master_Rules'!$H$4:$H$200,'Master_Rules'!$D$4:$D$200,C197))</x:f>
      </x:c>
      <x:c r="M197" s="75" t="str">
        <x:f>IF($C197="","",IF(K197=0,J197,MAX(K197,CEILING(J197,L197))))</x:f>
      </x:c>
      <x:c r="N197" s="75" t="str">
        <x:f>IF($C197="","",SUMIFS('Input_OL'!$G$4:$G$200,'Input_OL'!$C$4:$C$200,C197,'Input_OL'!$F$4:$F$200,B197))</x:f>
      </x:c>
      <x:c r="O197" s="75" t="str">
        <x:f>IF($C197="","",SUMIFS('Input_OL'!$G$4:$G$200,'Input_OL'!$C$4:$C$200,C197,'Input_OL'!$F$4:$F$200,B197))</x:f>
      </x:c>
      <x:c r="P197" s="75" t="str">
        <x:f>IF($C197="","",IF(N197=0,"확인필요",IF(ABS(M197-N197)/N197&lt;=0.2,"정상","Rule초과")))</x:f>
      </x:c>
      <x:c r="Q197" s="75" t="str">
        <x:f>IF($C197="","",IF(O197=0,"확인필요",IF(ABS(M197-O197)/O197&lt;=0.3,"정상","Rule초과")))</x:f>
      </x:c>
      <x:c r="R197" s="75" t="str">
        <x:f>IF($C197="","",M197)</x:f>
      </x:c>
      <x:c r="S197" s="75" t="str">
        <x:f>IF($C197="","",R197*SUMIFS('Master_Rules'!$J$4:$J$200,'Master_Rules'!$D$4:$D$200,C197))</x:f>
      </x:c>
      <x:c r="T197" s="72" t="str">
        <x:f>IF($C197="","",IF(OR(P197="Rule초과",Q197="Rule초과"),"Flex 확인",IF(R197&gt;J197,"MOQ 조정","정상")))</x:f>
      </x:c>
    </x:row>
    <x:row r="198">
      <x:c r="A198" s="71"/>
      <x:c r="B198" s="71"/>
      <x:c r="C198" s="72"/>
      <x:c r="D198" s="72"/>
      <x:c r="E198" s="72"/>
      <x:c r="F198" s="75" t="str">
        <x:f>IF($C198="","",SUMIFS('Input_OL'!$K$4:$K$200,'Input_OL'!$C$4:$C$200,C198,'Input_OL'!$F$4:$F$200,B198))</x:f>
      </x:c>
      <x:c r="G198" s="75" t="str">
        <x:f>IF($C198="","",SUMIFS('Input_Inventory'!$G$4:$G$200,'Input_Inventory'!$C$4:$C$200,C198))</x:f>
      </x:c>
      <x:c r="H198" s="75" t="str">
        <x:f>IF($C198="","",SUMIFS('Input_Inventory'!$L$4:$L$200,'Input_Inventory'!$C$4:$C$200,C198,'Input_Inventory'!$F$4:$F$200,B198))</x:f>
      </x:c>
      <x:c r="I198" s="75" t="str">
        <x:f>IF($C198="","",G198+H198)</x:f>
      </x:c>
      <x:c r="J198" s="75" t="str">
        <x:f>IF($C198="","",MAX(0,F198-I198))</x:f>
      </x:c>
      <x:c r="K198" s="75" t="str">
        <x:f>IF($C198="","",SUMIFS('Master_Rules'!$G$4:$G$200,'Master_Rules'!$D$4:$D$200,C198))</x:f>
      </x:c>
      <x:c r="L198" s="75" t="str">
        <x:f>IF($C198="","",SUMIFS('Master_Rules'!$H$4:$H$200,'Master_Rules'!$D$4:$D$200,C198))</x:f>
      </x:c>
      <x:c r="M198" s="75" t="str">
        <x:f>IF($C198="","",IF(K198=0,J198,MAX(K198,CEILING(J198,L198))))</x:f>
      </x:c>
      <x:c r="N198" s="75" t="str">
        <x:f>IF($C198="","",SUMIFS('Input_OL'!$G$4:$G$200,'Input_OL'!$C$4:$C$200,C198,'Input_OL'!$F$4:$F$200,B198))</x:f>
      </x:c>
      <x:c r="O198" s="75" t="str">
        <x:f>IF($C198="","",SUMIFS('Input_OL'!$G$4:$G$200,'Input_OL'!$C$4:$C$200,C198,'Input_OL'!$F$4:$F$200,B198))</x:f>
      </x:c>
      <x:c r="P198" s="75" t="str">
        <x:f>IF($C198="","",IF(N198=0,"확인필요",IF(ABS(M198-N198)/N198&lt;=0.2,"정상","Rule초과")))</x:f>
      </x:c>
      <x:c r="Q198" s="75" t="str">
        <x:f>IF($C198="","",IF(O198=0,"확인필요",IF(ABS(M198-O198)/O198&lt;=0.3,"정상","Rule초과")))</x:f>
      </x:c>
      <x:c r="R198" s="75" t="str">
        <x:f>IF($C198="","",M198)</x:f>
      </x:c>
      <x:c r="S198" s="75" t="str">
        <x:f>IF($C198="","",R198*SUMIFS('Master_Rules'!$J$4:$J$200,'Master_Rules'!$D$4:$D$200,C198))</x:f>
      </x:c>
      <x:c r="T198" s="72" t="str">
        <x:f>IF($C198="","",IF(OR(P198="Rule초과",Q198="Rule초과"),"Flex 확인",IF(R198&gt;J198,"MOQ 조정","정상")))</x:f>
      </x:c>
    </x:row>
    <x:row r="199">
      <x:c r="A199" s="71"/>
      <x:c r="B199" s="71"/>
      <x:c r="C199" s="72"/>
      <x:c r="D199" s="72"/>
      <x:c r="E199" s="72"/>
      <x:c r="F199" s="75" t="str">
        <x:f>IF($C199="","",SUMIFS('Input_OL'!$K$4:$K$200,'Input_OL'!$C$4:$C$200,C199,'Input_OL'!$F$4:$F$200,B199))</x:f>
      </x:c>
      <x:c r="G199" s="75" t="str">
        <x:f>IF($C199="","",SUMIFS('Input_Inventory'!$G$4:$G$200,'Input_Inventory'!$C$4:$C$200,C199))</x:f>
      </x:c>
      <x:c r="H199" s="75" t="str">
        <x:f>IF($C199="","",SUMIFS('Input_Inventory'!$L$4:$L$200,'Input_Inventory'!$C$4:$C$200,C199,'Input_Inventory'!$F$4:$F$200,B199))</x:f>
      </x:c>
      <x:c r="I199" s="75" t="str">
        <x:f>IF($C199="","",G199+H199)</x:f>
      </x:c>
      <x:c r="J199" s="75" t="str">
        <x:f>IF($C199="","",MAX(0,F199-I199))</x:f>
      </x:c>
      <x:c r="K199" s="75" t="str">
        <x:f>IF($C199="","",SUMIFS('Master_Rules'!$G$4:$G$200,'Master_Rules'!$D$4:$D$200,C199))</x:f>
      </x:c>
      <x:c r="L199" s="75" t="str">
        <x:f>IF($C199="","",SUMIFS('Master_Rules'!$H$4:$H$200,'Master_Rules'!$D$4:$D$200,C199))</x:f>
      </x:c>
      <x:c r="M199" s="75" t="str">
        <x:f>IF($C199="","",IF(K199=0,J199,MAX(K199,CEILING(J199,L199))))</x:f>
      </x:c>
      <x:c r="N199" s="75" t="str">
        <x:f>IF($C199="","",SUMIFS('Input_OL'!$G$4:$G$200,'Input_OL'!$C$4:$C$200,C199,'Input_OL'!$F$4:$F$200,B199))</x:f>
      </x:c>
      <x:c r="O199" s="75" t="str">
        <x:f>IF($C199="","",SUMIFS('Input_OL'!$G$4:$G$200,'Input_OL'!$C$4:$C$200,C199,'Input_OL'!$F$4:$F$200,B199))</x:f>
      </x:c>
      <x:c r="P199" s="75" t="str">
        <x:f>IF($C199="","",IF(N199=0,"확인필요",IF(ABS(M199-N199)/N199&lt;=0.2,"정상","Rule초과")))</x:f>
      </x:c>
      <x:c r="Q199" s="75" t="str">
        <x:f>IF($C199="","",IF(O199=0,"확인필요",IF(ABS(M199-O199)/O199&lt;=0.3,"정상","Rule초과")))</x:f>
      </x:c>
      <x:c r="R199" s="75" t="str">
        <x:f>IF($C199="","",M199)</x:f>
      </x:c>
      <x:c r="S199" s="75" t="str">
        <x:f>IF($C199="","",R199*SUMIFS('Master_Rules'!$J$4:$J$200,'Master_Rules'!$D$4:$D$200,C199))</x:f>
      </x:c>
      <x:c r="T199" s="72" t="str">
        <x:f>IF($C199="","",IF(OR(P199="Rule초과",Q199="Rule초과"),"Flex 확인",IF(R199&gt;J199,"MOQ 조정","정상")))</x:f>
      </x:c>
    </x:row>
    <x:row r="200">
      <x:c r="A200" s="71"/>
      <x:c r="B200" s="71"/>
      <x:c r="C200" s="72"/>
      <x:c r="D200" s="72"/>
      <x:c r="E200" s="72"/>
      <x:c r="F200" s="75" t="str">
        <x:f>IF($C200="","",SUMIFS('Input_OL'!$K$4:$K$200,'Input_OL'!$C$4:$C$200,C200,'Input_OL'!$F$4:$F$200,B200))</x:f>
      </x:c>
      <x:c r="G200" s="75" t="str">
        <x:f>IF($C200="","",SUMIFS('Input_Inventory'!$G$4:$G$200,'Input_Inventory'!$C$4:$C$200,C200))</x:f>
      </x:c>
      <x:c r="H200" s="75" t="str">
        <x:f>IF($C200="","",SUMIFS('Input_Inventory'!$L$4:$L$200,'Input_Inventory'!$C$4:$C$200,C200,'Input_Inventory'!$F$4:$F$200,B200))</x:f>
      </x:c>
      <x:c r="I200" s="75" t="str">
        <x:f>IF($C200="","",G200+H200)</x:f>
      </x:c>
      <x:c r="J200" s="75" t="str">
        <x:f>IF($C200="","",MAX(0,F200-I200))</x:f>
      </x:c>
      <x:c r="K200" s="75" t="str">
        <x:f>IF($C200="","",SUMIFS('Master_Rules'!$G$4:$G$200,'Master_Rules'!$D$4:$D$200,C200))</x:f>
      </x:c>
      <x:c r="L200" s="75" t="str">
        <x:f>IF($C200="","",SUMIFS('Master_Rules'!$H$4:$H$200,'Master_Rules'!$D$4:$D$200,C200))</x:f>
      </x:c>
      <x:c r="M200" s="75" t="str">
        <x:f>IF($C200="","",IF(K200=0,J200,MAX(K200,CEILING(J200,L200))))</x:f>
      </x:c>
      <x:c r="N200" s="75" t="str">
        <x:f>IF($C200="","",SUMIFS('Input_OL'!$G$4:$G$200,'Input_OL'!$C$4:$C$200,C200,'Input_OL'!$F$4:$F$200,B200))</x:f>
      </x:c>
      <x:c r="O200" s="75" t="str">
        <x:f>IF($C200="","",SUMIFS('Input_OL'!$G$4:$G$200,'Input_OL'!$C$4:$C$200,C200,'Input_OL'!$F$4:$F$200,B200))</x:f>
      </x:c>
      <x:c r="P200" s="75" t="str">
        <x:f>IF($C200="","",IF(N200=0,"확인필요",IF(ABS(M200-N200)/N200&lt;=0.2,"정상","Rule초과")))</x:f>
      </x:c>
      <x:c r="Q200" s="75" t="str">
        <x:f>IF($C200="","",IF(O200=0,"확인필요",IF(ABS(M200-O200)/O200&lt;=0.3,"정상","Rule초과")))</x:f>
      </x:c>
      <x:c r="R200" s="75" t="str">
        <x:f>IF($C200="","",M200)</x:f>
      </x:c>
      <x:c r="S200" s="75" t="str">
        <x:f>IF($C200="","",R200*SUMIFS('Master_Rules'!$J$4:$J$200,'Master_Rules'!$D$4:$D$200,C200))</x:f>
      </x:c>
      <x:c r="T200" s="72" t="str">
        <x:f>IF($C200="","",IF(OR(P200="Rule초과",Q200="Rule초과"),"Flex 확인",IF(R200&gt;J200,"MOQ 조정","정상")))</x:f>
      </x:c>
    </x:row>
  </x:sheetData>
  <x:mergeCells>
    <x:mergeCell ref="A1:T1"/>
  </x:mergeCells>
  <x:conditionalFormatting sqref="P4:Q200">
    <x:cfRule type="containsText" dxfId="0" priority="1" operator="containsText" text="Rule초과"/>
  </x:conditionalFormatting>
  <x:pageMargins left="0.7" right="0.7" top="0.75" bottom="0.75" header="0.3" footer="0.3"/>
  <x:legacyDrawing xmlns:r="http://schemas.openxmlformats.org/officeDocument/2006/relationships" r:id="R3d1f0b2d6ee4473f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20" hidden="0" customWidth="1"/>
    <x:col min="5" max="5" width="18" hidden="0" customWidth="1"/>
    <x:col min="6" max="6" width="22" hidden="0" customWidth="1"/>
    <x:col min="7" max="7" width="14" hidden="0" customWidth="1"/>
    <x:col min="8" max="8" width="12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0" hidden="0" customWidth="1"/>
    <x:col min="20" max="20" width="14" hidden="0" customWidth="1"/>
    <x:col min="21" max="21" width="14" hidden="0" customWidth="1"/>
    <x:col min="22" max="22" width="16" hidden="0" customWidth="1"/>
  </x:cols>
  <x:sheetData>
    <x:row r="1" ht="30" customHeight="1">
      <x:c r="A1" s="93" t="str">
        <x:v>계산: 옵션·부품·소모품 발주량 산출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</x:row>
    <x:row r="3">
      <x:c r="A3" s="67" t="str">
        <x:v>기준월</x:v>
      </x:c>
      <x:c r="B3" s="67" t="str">
        <x:v>필요월도</x:v>
      </x:c>
      <x:c r="C3" s="67" t="str">
        <x:v>기종코드</x:v>
      </x:c>
      <x:c r="D3" s="67" t="str">
        <x:v>기종명</x:v>
      </x:c>
      <x:c r="E3" s="67" t="str">
        <x:v>품목코드</x:v>
      </x:c>
      <x:c r="F3" s="67" t="str">
        <x:v>품목명</x:v>
      </x:c>
      <x:c r="G3" s="67" t="str">
        <x:v>Supplier</x:v>
      </x:c>
      <x:c r="H3" s="67" t="str">
        <x:v>기기수요</x:v>
      </x:c>
      <x:c r="I3" s="67" t="str">
        <x:v>BOM</x:v>
      </x:c>
      <x:c r="J3" s="67" t="str">
        <x:v>장착율</x:v>
      </x:c>
      <x:c r="K3" s="67" t="str">
        <x:v>필수품</x:v>
      </x:c>
      <x:c r="L3" s="67" t="str">
        <x:v>기기연동 소요량</x:v>
      </x:c>
      <x:c r="M3" s="67" t="str">
        <x:v>평균사용량</x:v>
      </x:c>
      <x:c r="N3" s="67" t="str">
        <x:v>총 소요량</x:v>
      </x:c>
      <x:c r="O3" s="67" t="str">
        <x:v>전월 말 재고</x:v>
      </x:c>
      <x:c r="P3" s="67" t="str">
        <x:v>Open PO(적기)</x:v>
      </x:c>
      <x:c r="Q3" s="67" t="str">
        <x:v>가용재고</x:v>
      </x:c>
      <x:c r="R3" s="67" t="str">
        <x:v>기본 필요량</x:v>
      </x:c>
      <x:c r="S3" s="67" t="str">
        <x:v>MOQ</x:v>
      </x:c>
      <x:c r="T3" s="67" t="str">
        <x:v>MOQ 적용 발주량</x:v>
      </x:c>
      <x:c r="U3" s="67" t="str">
        <x:v>발주금액</x:v>
      </x:c>
      <x:c r="V3" s="67" t="str">
        <x:v>검증결과</x:v>
      </x:c>
    </x:row>
    <x:row r="4">
      <x:c r="A4" s="71" t="n">
        <x:v>46235</x:v>
      </x:c>
      <x:c r="B4" s="71" t="n">
        <x:v>46266</x:v>
      </x:c>
      <x:c r="C4" s="72" t="str">
        <x:v>PRT-A3-001</x:v>
      </x:c>
      <x:c r="D4" s="72" t="str">
        <x:v>A3 Printer</x:v>
      </x:c>
      <x:c r="E4" s="72" t="str">
        <x:v>OPT-FIN-001</x:v>
      </x:c>
      <x:c r="F4" s="72" t="str">
        <x:v>Finisher</x:v>
      </x:c>
      <x:c r="G4" s="72" t="str">
        <x:v>Supplier C</x:v>
      </x:c>
      <x:c r="H4" s="81" t="n">
        <x:f>IF($E4="","",SUMIFS('Input_OL'!$K$4:$K$200,'Input_OL'!$C$4:$C$200,C4,'Input_OL'!$F$4:$F$200,B4))</x:f>
        <x:v>40</x:v>
      </x:c>
      <x:c r="I4" s="81" t="n">
        <x:f>IF($E4="","",SUMIFS('Master_BOM'!$F$4:$F$200,'Master_BOM'!$A$4:$A$200,C4,'Master_BOM'!$C$4:$C$200,E4))</x:f>
        <x:v>1</x:v>
      </x:c>
      <x:c r="J4" s="82" t="n">
        <x:f>IF($E4="","",SUMIFS('Master_BOM'!$G$4:$G$200,'Master_BOM'!$A$4:$A$200,C4,'Master_BOM'!$C$4:$C$200,E4))</x:f>
        <x:v>0.4</x:v>
      </x:c>
      <x:c r="K4" s="83" t="n">
        <x:f>IF($E4="","",SUMIFS('Master_BOM'!$H$4:$H$200,'Master_BOM'!$A$4:$A$200,C4,'Master_BOM'!$C$4:$C$200,E4))</x:f>
        <x:v>0</x:v>
      </x:c>
      <x:c r="L4" s="75" t="n">
        <x:f>IF($E4="","",IF(K4="Y",H4*I4,H4*I4*J4))</x:f>
        <x:v>16</x:v>
      </x:c>
      <x:c r="M4" s="75" t="n">
        <x:f>IF($E4="","",IFERROR(SUMIFS('Master_BOM'!$J$4:$J$200,'Master_BOM'!$C$4:$C$200,E4),0))</x:f>
        <x:v>0</x:v>
      </x:c>
      <x:c r="N4" s="75" t="n">
        <x:f>IF($E4="","",L4+M4)</x:f>
        <x:v>16</x:v>
      </x:c>
      <x:c r="O4" s="75" t="n">
        <x:f>IF($E4="","",SUMIFS('Input_Inventory'!$G$4:$G$200,'Input_Inventory'!$C$4:$C$200,E4))</x:f>
        <x:v>3</x:v>
      </x:c>
      <x:c r="P4" s="75" t="n">
        <x:f>IF($E4="","",SUMIFS('Input_Inventory'!$L$4:$L$200,'Input_Inventory'!$C$4:$C$200,E4,'Input_Inventory'!$F$4:$F$200,B4))</x:f>
        <x:v>5</x:v>
      </x:c>
      <x:c r="Q4" s="75" t="n">
        <x:f>IF($E4="","",O4+P4)</x:f>
        <x:v>8</x:v>
      </x:c>
      <x:c r="R4" s="75" t="n">
        <x:f>IF($E4="","",MAX(0,N4-Q4))</x:f>
        <x:v>8</x:v>
      </x:c>
      <x:c r="S4" s="75" t="n">
        <x:f>IF($E4="","",SUMIFS('Master_Rules'!$G$4:$G$200,'Master_Rules'!$D$4:$D$200,E4))</x:f>
        <x:v>5</x:v>
      </x:c>
      <x:c r="T4" s="75" t="n">
        <x:f>IF($E4="","",IF(S4=0,R4,MAX(S4,CEILING(R4,SUMIFS('Master_Rules'!$H$4:$H$200,'Master_Rules'!$D$4:$D$200,E4)))))</x:f>
        <x:v>10</x:v>
      </x:c>
      <x:c r="U4" s="75" t="n">
        <x:f>IF($E4="","",T4*SUMIFS('Master_Rules'!$J$4:$J$200,'Master_Rules'!$D$4:$D$200,E4))</x:f>
        <x:v>2500000</x:v>
      </x:c>
      <x:c r="V4" s="83" t="str">
        <x:f>IF($E4="","",IF(T4&gt;R4,"MOQ 조정",IF(K4="Y","필수품 확인","정상")))</x:f>
        <x:v>MOQ 조정</x:v>
      </x:c>
    </x:row>
    <x:row r="5">
      <x:c r="A5" s="71" t="n">
        <x:v>46235</x:v>
      </x:c>
      <x:c r="B5" s="71" t="n">
        <x:v>46266</x:v>
      </x:c>
      <x:c r="C5" s="72" t="str">
        <x:v>PRT-A3-001</x:v>
      </x:c>
      <x:c r="D5" s="72" t="str">
        <x:v>A3 Printer</x:v>
      </x:c>
      <x:c r="E5" s="72" t="str">
        <x:v>OPT-TRAY-001</x:v>
      </x:c>
      <x:c r="F5" s="72" t="str">
        <x:v>Paper Tray</x:v>
      </x:c>
      <x:c r="G5" s="72" t="str">
        <x:v>Supplier C</x:v>
      </x:c>
      <x:c r="H5" s="81" t="n">
        <x:f>IF($E5="","",SUMIFS('Input_OL'!$K$4:$K$200,'Input_OL'!$C$4:$C$200,C5,'Input_OL'!$F$4:$F$200,B5))</x:f>
        <x:v>40</x:v>
      </x:c>
      <x:c r="I5" s="81" t="n">
        <x:f>IF($E5="","",SUMIFS('Master_BOM'!$F$4:$F$200,'Master_BOM'!$A$4:$A$200,C5,'Master_BOM'!$C$4:$C$200,E5))</x:f>
        <x:v>1</x:v>
      </x:c>
      <x:c r="J5" s="82" t="n">
        <x:f>IF($E5="","",SUMIFS('Master_BOM'!$G$4:$G$200,'Master_BOM'!$A$4:$A$200,C5,'Master_BOM'!$C$4:$C$200,E5))</x:f>
        <x:v>1</x:v>
      </x:c>
      <x:c r="K5" s="83" t="n">
        <x:f>IF($E5="","",SUMIFS('Master_BOM'!$H$4:$H$200,'Master_BOM'!$A$4:$A$200,C5,'Master_BOM'!$C$4:$C$200,E5))</x:f>
        <x:v>0</x:v>
      </x:c>
      <x:c r="L5" s="75" t="n">
        <x:f>IF($E5="","",IF(K5="Y",H5*I5,H5*I5*J5))</x:f>
        <x:v>40</x:v>
      </x:c>
      <x:c r="M5" s="75" t="n">
        <x:f>IF($E5="","",IFERROR(SUMIFS('Master_BOM'!$J$4:$J$200,'Master_BOM'!$C$4:$C$200,E5),0))</x:f>
        <x:v>0</x:v>
      </x:c>
      <x:c r="N5" s="75" t="n">
        <x:f>IF($E5="","",L5+M5)</x:f>
        <x:v>40</x:v>
      </x:c>
      <x:c r="O5" s="75" t="n">
        <x:f>IF($E5="","",SUMIFS('Input_Inventory'!$G$4:$G$200,'Input_Inventory'!$C$4:$C$200,E5))</x:f>
        <x:v>4</x:v>
      </x:c>
      <x:c r="P5" s="75" t="n">
        <x:f>IF($E5="","",SUMIFS('Input_Inventory'!$L$4:$L$200,'Input_Inventory'!$C$4:$C$200,E5,'Input_Inventory'!$F$4:$F$200,B5))</x:f>
        <x:v>0</x:v>
      </x:c>
      <x:c r="Q5" s="75" t="n">
        <x:f>IF($E5="","",O5+P5)</x:f>
        <x:v>4</x:v>
      </x:c>
      <x:c r="R5" s="75" t="n">
        <x:f>IF($E5="","",MAX(0,N5-Q5))</x:f>
        <x:v>36</x:v>
      </x:c>
      <x:c r="S5" s="75" t="n">
        <x:f>IF($E5="","",SUMIFS('Master_Rules'!$G$4:$G$200,'Master_Rules'!$D$4:$D$200,E5))</x:f>
        <x:v>10</x:v>
      </x:c>
      <x:c r="T5" s="75" t="n">
        <x:f>IF($E5="","",IF(S5=0,R5,MAX(S5,CEILING(R5,SUMIFS('Master_Rules'!$H$4:$H$200,'Master_Rules'!$D$4:$D$200,E5)))))</x:f>
        <x:v>40</x:v>
      </x:c>
      <x:c r="U5" s="75" t="n">
        <x:f>IF($E5="","",T5*SUMIFS('Master_Rules'!$J$4:$J$200,'Master_Rules'!$D$4:$D$200,E5))</x:f>
        <x:v>3200000</x:v>
      </x:c>
      <x:c r="V5" s="83" t="str">
        <x:f>IF($E5="","",IF(T5&gt;R5,"MOQ 조정",IF(K5="Y","필수품 확인","정상")))</x:f>
        <x:v>MOQ 조정</x:v>
      </x:c>
    </x:row>
    <x:row r="6">
      <x:c r="A6" s="71" t="n">
        <x:v>46235</x:v>
      </x:c>
      <x:c r="B6" s="71" t="n">
        <x:v>46266</x:v>
      </x:c>
      <x:c r="C6" s="72" t="str">
        <x:v>PRT-A4-001</x:v>
      </x:c>
      <x:c r="D6" s="72" t="str">
        <x:v>A4 Printer</x:v>
      </x:c>
      <x:c r="E6" s="72" t="str">
        <x:v>OPT-FIN-001</x:v>
      </x:c>
      <x:c r="F6" s="72" t="str">
        <x:v>Finisher</x:v>
      </x:c>
      <x:c r="G6" s="72" t="str">
        <x:v>Supplier C</x:v>
      </x:c>
      <x:c r="H6" s="81" t="n">
        <x:f>IF($E6="","",SUMIFS('Input_OL'!$K$4:$K$200,'Input_OL'!$C$4:$C$200,C6,'Input_OL'!$F$4:$F$200,B6))</x:f>
        <x:v>60</x:v>
      </x:c>
      <x:c r="I6" s="81" t="n">
        <x:f>IF($E6="","",SUMIFS('Master_BOM'!$F$4:$F$200,'Master_BOM'!$A$4:$A$200,C6,'Master_BOM'!$C$4:$C$200,E6))</x:f>
        <x:v>1</x:v>
      </x:c>
      <x:c r="J6" s="82" t="n">
        <x:f>IF($E6="","",SUMIFS('Master_BOM'!$G$4:$G$200,'Master_BOM'!$A$4:$A$200,C6,'Master_BOM'!$C$4:$C$200,E6))</x:f>
        <x:v>0.3</x:v>
      </x:c>
      <x:c r="K6" s="83" t="n">
        <x:f>IF($E6="","",SUMIFS('Master_BOM'!$H$4:$H$200,'Master_BOM'!$A$4:$A$200,C6,'Master_BOM'!$C$4:$C$200,E6))</x:f>
        <x:v>0</x:v>
      </x:c>
      <x:c r="L6" s="75" t="n">
        <x:f>IF($E6="","",IF(K6="Y",H6*I6,H6*I6*J6))</x:f>
        <x:v>18</x:v>
      </x:c>
      <x:c r="M6" s="75" t="n">
        <x:f>IF($E6="","",IFERROR(SUMIFS('Master_BOM'!$J$4:$J$200,'Master_BOM'!$C$4:$C$200,E6),0))</x:f>
        <x:v>0</x:v>
      </x:c>
      <x:c r="N6" s="75" t="n">
        <x:f>IF($E6="","",L6+M6)</x:f>
        <x:v>18</x:v>
      </x:c>
      <x:c r="O6" s="75" t="n">
        <x:f>IF($E6="","",SUMIFS('Input_Inventory'!$G$4:$G$200,'Input_Inventory'!$C$4:$C$200,E6))</x:f>
        <x:v>3</x:v>
      </x:c>
      <x:c r="P6" s="75" t="n">
        <x:f>IF($E6="","",SUMIFS('Input_Inventory'!$L$4:$L$200,'Input_Inventory'!$C$4:$C$200,E6,'Input_Inventory'!$F$4:$F$200,B6))</x:f>
        <x:v>5</x:v>
      </x:c>
      <x:c r="Q6" s="75" t="n">
        <x:f>IF($E6="","",O6+P6)</x:f>
        <x:v>8</x:v>
      </x:c>
      <x:c r="R6" s="75" t="n">
        <x:f>IF($E6="","",MAX(0,N6-Q6))</x:f>
        <x:v>10</x:v>
      </x:c>
      <x:c r="S6" s="75" t="n">
        <x:f>IF($E6="","",SUMIFS('Master_Rules'!$G$4:$G$200,'Master_Rules'!$D$4:$D$200,E6))</x:f>
        <x:v>5</x:v>
      </x:c>
      <x:c r="T6" s="75" t="n">
        <x:f>IF($E6="","",IF(S6=0,R6,MAX(S6,CEILING(R6,SUMIFS('Master_Rules'!$H$4:$H$200,'Master_Rules'!$D$4:$D$200,E6)))))</x:f>
        <x:v>10</x:v>
      </x:c>
      <x:c r="U6" s="75" t="n">
        <x:f>IF($E6="","",T6*SUMIFS('Master_Rules'!$J$4:$J$200,'Master_Rules'!$D$4:$D$200,E6))</x:f>
        <x:v>2500000</x:v>
      </x:c>
      <x:c r="V6" s="83" t="str">
        <x:f>IF($E6="","",IF(T6&gt;R6,"MOQ 조정",IF(K6="Y","필수품 확인","정상")))</x:f>
        <x:v>정상</x:v>
      </x:c>
    </x:row>
    <x:row r="7">
      <x:c r="A7" s="71" t="n">
        <x:v>46235</x:v>
      </x:c>
      <x:c r="B7" s="71" t="n">
        <x:v>46266</x:v>
      </x:c>
      <x:c r="C7" s="72" t="str">
        <x:v>PRT-A4-001</x:v>
      </x:c>
      <x:c r="D7" s="72" t="str">
        <x:v>A4 Printer</x:v>
      </x:c>
      <x:c r="E7" s="72" t="str">
        <x:v>OPT-TRAY-001</x:v>
      </x:c>
      <x:c r="F7" s="72" t="str">
        <x:v>Paper Tray</x:v>
      </x:c>
      <x:c r="G7" s="72" t="str">
        <x:v>Supplier C</x:v>
      </x:c>
      <x:c r="H7" s="81" t="n">
        <x:f>IF($E7="","",SUMIFS('Input_OL'!$K$4:$K$200,'Input_OL'!$C$4:$C$200,C7,'Input_OL'!$F$4:$F$200,B7))</x:f>
        <x:v>60</x:v>
      </x:c>
      <x:c r="I7" s="81" t="n">
        <x:f>IF($E7="","",SUMIFS('Master_BOM'!$F$4:$F$200,'Master_BOM'!$A$4:$A$200,C7,'Master_BOM'!$C$4:$C$200,E7))</x:f>
        <x:v>1</x:v>
      </x:c>
      <x:c r="J7" s="82" t="n">
        <x:f>IF($E7="","",SUMIFS('Master_BOM'!$G$4:$G$200,'Master_BOM'!$A$4:$A$200,C7,'Master_BOM'!$C$4:$C$200,E7))</x:f>
        <x:v>1</x:v>
      </x:c>
      <x:c r="K7" s="83" t="n">
        <x:f>IF($E7="","",SUMIFS('Master_BOM'!$H$4:$H$200,'Master_BOM'!$A$4:$A$200,C7,'Master_BOM'!$C$4:$C$200,E7))</x:f>
        <x:v>0</x:v>
      </x:c>
      <x:c r="L7" s="75" t="n">
        <x:f>IF($E7="","",IF(K7="Y",H7*I7,H7*I7*J7))</x:f>
        <x:v>60</x:v>
      </x:c>
      <x:c r="M7" s="75" t="n">
        <x:f>IF($E7="","",IFERROR(SUMIFS('Master_BOM'!$J$4:$J$200,'Master_BOM'!$C$4:$C$200,E7),0))</x:f>
        <x:v>0</x:v>
      </x:c>
      <x:c r="N7" s="75" t="n">
        <x:f>IF($E7="","",L7+M7)</x:f>
        <x:v>60</x:v>
      </x:c>
      <x:c r="O7" s="75" t="n">
        <x:f>IF($E7="","",SUMIFS('Input_Inventory'!$G$4:$G$200,'Input_Inventory'!$C$4:$C$200,E7))</x:f>
        <x:v>4</x:v>
      </x:c>
      <x:c r="P7" s="75" t="n">
        <x:f>IF($E7="","",SUMIFS('Input_Inventory'!$L$4:$L$200,'Input_Inventory'!$C$4:$C$200,E7,'Input_Inventory'!$F$4:$F$200,B7))</x:f>
        <x:v>0</x:v>
      </x:c>
      <x:c r="Q7" s="75" t="n">
        <x:f>IF($E7="","",O7+P7)</x:f>
        <x:v>4</x:v>
      </x:c>
      <x:c r="R7" s="75" t="n">
        <x:f>IF($E7="","",MAX(0,N7-Q7))</x:f>
        <x:v>56</x:v>
      </x:c>
      <x:c r="S7" s="75" t="n">
        <x:f>IF($E7="","",SUMIFS('Master_Rules'!$G$4:$G$200,'Master_Rules'!$D$4:$D$200,E7))</x:f>
        <x:v>10</x:v>
      </x:c>
      <x:c r="T7" s="75" t="n">
        <x:f>IF($E7="","",IF(S7=0,R7,MAX(S7,CEILING(R7,SUMIFS('Master_Rules'!$H$4:$H$200,'Master_Rules'!$D$4:$D$200,E7)))))</x:f>
        <x:v>60</x:v>
      </x:c>
      <x:c r="U7" s="75" t="n">
        <x:f>IF($E7="","",T7*SUMIFS('Master_Rules'!$J$4:$J$200,'Master_Rules'!$D$4:$D$200,E7))</x:f>
        <x:v>4800000</x:v>
      </x:c>
      <x:c r="V7" s="83" t="str">
        <x:f>IF($E7="","",IF(T7&gt;R7,"MOQ 조정",IF(K7="Y","필수품 확인","정상")))</x:f>
        <x:v>MOQ 조정</x:v>
      </x:c>
    </x:row>
    <x:row r="8">
      <x:c r="A8" s="71" t="n">
        <x:v>46235</x:v>
      </x:c>
      <x:c r="B8" s="71" t="n">
        <x:v>46266</x:v>
      </x:c>
      <x:c r="C8" s="72" t="str">
        <x:v>PRT-A3-001</x:v>
      </x:c>
      <x:c r="D8" s="72" t="str">
        <x:v>A3 Printer</x:v>
      </x:c>
      <x:c r="E8" s="72" t="str">
        <x:v>CON-TNR-001</x:v>
      </x:c>
      <x:c r="F8" s="72" t="str">
        <x:v>Toner</x:v>
      </x:c>
      <x:c r="G8" s="72" t="str">
        <x:v>Supplier D</x:v>
      </x:c>
      <x:c r="H8" s="81" t="n">
        <x:f>IF($E8="","",SUMIFS('Input_OL'!$K$4:$K$200,'Input_OL'!$C$4:$C$200,C8,'Input_OL'!$F$4:$F$200,B8))</x:f>
        <x:v>40</x:v>
      </x:c>
      <x:c r="I8" s="81" t="n">
        <x:f>IF($E8="","",SUMIFS('Master_BOM'!$F$4:$F$200,'Master_BOM'!$A$4:$A$200,C8,'Master_BOM'!$C$4:$C$200,E8))</x:f>
        <x:v>1</x:v>
      </x:c>
      <x:c r="J8" s="82" t="n">
        <x:f>IF($E8="","",SUMIFS('Master_BOM'!$G$4:$G$200,'Master_BOM'!$A$4:$A$200,C8,'Master_BOM'!$C$4:$C$200,E8))</x:f>
        <x:v>1</x:v>
      </x:c>
      <x:c r="K8" s="83" t="n">
        <x:f>IF($E8="","",SUMIFS('Master_BOM'!$H$4:$H$200,'Master_BOM'!$A$4:$A$200,C8,'Master_BOM'!$C$4:$C$200,E8))</x:f>
        <x:v>0</x:v>
      </x:c>
      <x:c r="L8" s="75" t="n">
        <x:f>IF($E8="","",IF(K8="Y",H8*I8,H8*I8*J8))</x:f>
        <x:v>40</x:v>
      </x:c>
      <x:c r="M8" s="75" t="n">
        <x:f>IF($E8="","",IFERROR(SUMIFS('Master_BOM'!$J$4:$J$200,'Master_BOM'!$C$4:$C$200,E8),0))</x:f>
        <x:v>90</x:v>
      </x:c>
      <x:c r="N8" s="75" t="n">
        <x:f>IF($E8="","",L8+M8)</x:f>
        <x:v>130</x:v>
      </x:c>
      <x:c r="O8" s="75" t="n">
        <x:f>IF($E8="","",SUMIFS('Input_Inventory'!$G$4:$G$200,'Input_Inventory'!$C$4:$C$200,E8))</x:f>
        <x:v>80</x:v>
      </x:c>
      <x:c r="P8" s="75" t="n">
        <x:f>IF($E8="","",SUMIFS('Input_Inventory'!$L$4:$L$200,'Input_Inventory'!$C$4:$C$200,E8,'Input_Inventory'!$F$4:$F$200,B8))</x:f>
        <x:v>0</x:v>
      </x:c>
      <x:c r="Q8" s="75" t="n">
        <x:f>IF($E8="","",O8+P8)</x:f>
        <x:v>80</x:v>
      </x:c>
      <x:c r="R8" s="75" t="n">
        <x:f>IF($E8="","",MAX(0,N8-Q8))</x:f>
        <x:v>50</x:v>
      </x:c>
      <x:c r="S8" s="75" t="n">
        <x:f>IF($E8="","",SUMIFS('Master_Rules'!$G$4:$G$200,'Master_Rules'!$D$4:$D$200,E8))</x:f>
        <x:v>50</x:v>
      </x:c>
      <x:c r="T8" s="75" t="n">
        <x:f>IF($E8="","",IF(S8=0,R8,MAX(S8,CEILING(R8,SUMIFS('Master_Rules'!$H$4:$H$200,'Master_Rules'!$D$4:$D$200,E8)))))</x:f>
        <x:v>50</x:v>
      </x:c>
      <x:c r="U8" s="75" t="n">
        <x:f>IF($E8="","",T8*SUMIFS('Master_Rules'!$J$4:$J$200,'Master_Rules'!$D$4:$D$200,E8))</x:f>
        <x:v>1500000</x:v>
      </x:c>
      <x:c r="V8" s="83" t="str">
        <x:f>IF($E8="","",IF(T8&gt;R8,"MOQ 조정",IF(K8="Y","필수품 확인","정상")))</x:f>
        <x:v>정상</x:v>
      </x:c>
    </x:row>
    <x:row r="9">
      <x:c r="A9" s="71"/>
      <x:c r="B9" s="71"/>
      <x:c r="C9" s="72"/>
      <x:c r="D9" s="72"/>
      <x:c r="E9" s="72"/>
      <x:c r="F9" s="72"/>
      <x:c r="G9" s="72"/>
      <x:c r="H9" s="81" t="str">
        <x:f>IF($E9="","",SUMIFS('Input_OL'!$K$4:$K$200,'Input_OL'!$C$4:$C$200,C9,'Input_OL'!$F$4:$F$200,B9))</x:f>
      </x:c>
      <x:c r="I9" s="81" t="str">
        <x:f>IF($E9="","",SUMIFS('Master_BOM'!$F$4:$F$200,'Master_BOM'!$A$4:$A$200,C9,'Master_BOM'!$C$4:$C$200,E9))</x:f>
      </x:c>
      <x:c r="J9" s="82" t="str">
        <x:f>IF($E9="","",SUMIFS('Master_BOM'!$G$4:$G$200,'Master_BOM'!$A$4:$A$200,C9,'Master_BOM'!$C$4:$C$200,E9))</x:f>
      </x:c>
      <x:c r="K9" s="83" t="str">
        <x:f>IF($E9="","",SUMIFS('Master_BOM'!$H$4:$H$200,'Master_BOM'!$A$4:$A$200,C9,'Master_BOM'!$C$4:$C$200,E9))</x:f>
      </x:c>
      <x:c r="L9" s="75" t="str">
        <x:f>IF($E9="","",IF(K9="Y",H9*I9,H9*I9*J9))</x:f>
      </x:c>
      <x:c r="M9" s="75" t="str">
        <x:f>IF($E9="","",IFERROR(SUMIFS('Master_BOM'!$J$4:$J$200,'Master_BOM'!$C$4:$C$200,E9),0))</x:f>
      </x:c>
      <x:c r="N9" s="75" t="str">
        <x:f>IF($E9="","",L9+M9)</x:f>
      </x:c>
      <x:c r="O9" s="75" t="str">
        <x:f>IF($E9="","",SUMIFS('Input_Inventory'!$G$4:$G$200,'Input_Inventory'!$C$4:$C$200,E9))</x:f>
      </x:c>
      <x:c r="P9" s="75" t="str">
        <x:f>IF($E9="","",SUMIFS('Input_Inventory'!$L$4:$L$200,'Input_Inventory'!$C$4:$C$200,E9,'Input_Inventory'!$F$4:$F$200,B9))</x:f>
      </x:c>
      <x:c r="Q9" s="75" t="str">
        <x:f>IF($E9="","",O9+P9)</x:f>
      </x:c>
      <x:c r="R9" s="75" t="str">
        <x:f>IF($E9="","",MAX(0,N9-Q9))</x:f>
      </x:c>
      <x:c r="S9" s="75" t="str">
        <x:f>IF($E9="","",SUMIFS('Master_Rules'!$G$4:$G$200,'Master_Rules'!$D$4:$D$200,E9))</x:f>
      </x:c>
      <x:c r="T9" s="75" t="str">
        <x:f>IF($E9="","",IF(S9=0,R9,MAX(S9,CEILING(R9,SUMIFS('Master_Rules'!$H$4:$H$200,'Master_Rules'!$D$4:$D$200,E9)))))</x:f>
      </x:c>
      <x:c r="U9" s="75" t="str">
        <x:f>IF($E9="","",T9*SUMIFS('Master_Rules'!$J$4:$J$200,'Master_Rules'!$D$4:$D$200,E9))</x:f>
      </x:c>
      <x:c r="V9" s="83" t="str">
        <x:f>IF($E9="","",IF(T9&gt;R9,"MOQ 조정",IF(K9="Y","필수품 확인","정상")))</x:f>
      </x:c>
    </x:row>
    <x:row r="10">
      <x:c r="A10" s="71"/>
      <x:c r="B10" s="71"/>
      <x:c r="C10" s="72"/>
      <x:c r="D10" s="72"/>
      <x:c r="E10" s="72"/>
      <x:c r="F10" s="72"/>
      <x:c r="G10" s="72"/>
      <x:c r="H10" s="81" t="str">
        <x:f>IF($E10="","",SUMIFS('Input_OL'!$K$4:$K$200,'Input_OL'!$C$4:$C$200,C10,'Input_OL'!$F$4:$F$200,B10))</x:f>
      </x:c>
      <x:c r="I10" s="81" t="str">
        <x:f>IF($E10="","",SUMIFS('Master_BOM'!$F$4:$F$200,'Master_BOM'!$A$4:$A$200,C10,'Master_BOM'!$C$4:$C$200,E10))</x:f>
      </x:c>
      <x:c r="J10" s="82" t="str">
        <x:f>IF($E10="","",SUMIFS('Master_BOM'!$G$4:$G$200,'Master_BOM'!$A$4:$A$200,C10,'Master_BOM'!$C$4:$C$200,E10))</x:f>
      </x:c>
      <x:c r="K10" s="83" t="str">
        <x:f>IF($E10="","",SUMIFS('Master_BOM'!$H$4:$H$200,'Master_BOM'!$A$4:$A$200,C10,'Master_BOM'!$C$4:$C$200,E10))</x:f>
      </x:c>
      <x:c r="L10" s="75" t="str">
        <x:f>IF($E10="","",IF(K10="Y",H10*I10,H10*I10*J10))</x:f>
      </x:c>
      <x:c r="M10" s="75" t="str">
        <x:f>IF($E10="","",IFERROR(SUMIFS('Master_BOM'!$J$4:$J$200,'Master_BOM'!$C$4:$C$200,E10),0))</x:f>
      </x:c>
      <x:c r="N10" s="75" t="str">
        <x:f>IF($E10="","",L10+M10)</x:f>
      </x:c>
      <x:c r="O10" s="75" t="str">
        <x:f>IF($E10="","",SUMIFS('Input_Inventory'!$G$4:$G$200,'Input_Inventory'!$C$4:$C$200,E10))</x:f>
      </x:c>
      <x:c r="P10" s="75" t="str">
        <x:f>IF($E10="","",SUMIFS('Input_Inventory'!$L$4:$L$200,'Input_Inventory'!$C$4:$C$200,E10,'Input_Inventory'!$F$4:$F$200,B10))</x:f>
      </x:c>
      <x:c r="Q10" s="75" t="str">
        <x:f>IF($E10="","",O10+P10)</x:f>
      </x:c>
      <x:c r="R10" s="75" t="str">
        <x:f>IF($E10="","",MAX(0,N10-Q10))</x:f>
      </x:c>
      <x:c r="S10" s="75" t="str">
        <x:f>IF($E10="","",SUMIFS('Master_Rules'!$G$4:$G$200,'Master_Rules'!$D$4:$D$200,E10))</x:f>
      </x:c>
      <x:c r="T10" s="75" t="str">
        <x:f>IF($E10="","",IF(S10=0,R10,MAX(S10,CEILING(R10,SUMIFS('Master_Rules'!$H$4:$H$200,'Master_Rules'!$D$4:$D$200,E10)))))</x:f>
      </x:c>
      <x:c r="U10" s="75" t="str">
        <x:f>IF($E10="","",T10*SUMIFS('Master_Rules'!$J$4:$J$200,'Master_Rules'!$D$4:$D$200,E10))</x:f>
      </x:c>
      <x:c r="V10" s="83" t="str">
        <x:f>IF($E10="","",IF(T10&gt;R10,"MOQ 조정",IF(K10="Y","필수품 확인","정상")))</x:f>
      </x:c>
    </x:row>
    <x:row r="11">
      <x:c r="A11" s="71"/>
      <x:c r="B11" s="71"/>
      <x:c r="C11" s="72"/>
      <x:c r="D11" s="72"/>
      <x:c r="E11" s="72"/>
      <x:c r="F11" s="72"/>
      <x:c r="G11" s="72"/>
      <x:c r="H11" s="81" t="str">
        <x:f>IF($E11="","",SUMIFS('Input_OL'!$K$4:$K$200,'Input_OL'!$C$4:$C$200,C11,'Input_OL'!$F$4:$F$200,B11))</x:f>
      </x:c>
      <x:c r="I11" s="81" t="str">
        <x:f>IF($E11="","",SUMIFS('Master_BOM'!$F$4:$F$200,'Master_BOM'!$A$4:$A$200,C11,'Master_BOM'!$C$4:$C$200,E11))</x:f>
      </x:c>
      <x:c r="J11" s="82" t="str">
        <x:f>IF($E11="","",SUMIFS('Master_BOM'!$G$4:$G$200,'Master_BOM'!$A$4:$A$200,C11,'Master_BOM'!$C$4:$C$200,E11))</x:f>
      </x:c>
      <x:c r="K11" s="83" t="str">
        <x:f>IF($E11="","",SUMIFS('Master_BOM'!$H$4:$H$200,'Master_BOM'!$A$4:$A$200,C11,'Master_BOM'!$C$4:$C$200,E11))</x:f>
      </x:c>
      <x:c r="L11" s="75" t="str">
        <x:f>IF($E11="","",IF(K11="Y",H11*I11,H11*I11*J11))</x:f>
      </x:c>
      <x:c r="M11" s="75" t="str">
        <x:f>IF($E11="","",IFERROR(SUMIFS('Master_BOM'!$J$4:$J$200,'Master_BOM'!$C$4:$C$200,E11),0))</x:f>
      </x:c>
      <x:c r="N11" s="75" t="str">
        <x:f>IF($E11="","",L11+M11)</x:f>
      </x:c>
      <x:c r="O11" s="75" t="str">
        <x:f>IF($E11="","",SUMIFS('Input_Inventory'!$G$4:$G$200,'Input_Inventory'!$C$4:$C$200,E11))</x:f>
      </x:c>
      <x:c r="P11" s="75" t="str">
        <x:f>IF($E11="","",SUMIFS('Input_Inventory'!$L$4:$L$200,'Input_Inventory'!$C$4:$C$200,E11,'Input_Inventory'!$F$4:$F$200,B11))</x:f>
      </x:c>
      <x:c r="Q11" s="75" t="str">
        <x:f>IF($E11="","",O11+P11)</x:f>
      </x:c>
      <x:c r="R11" s="75" t="str">
        <x:f>IF($E11="","",MAX(0,N11-Q11))</x:f>
      </x:c>
      <x:c r="S11" s="75" t="str">
        <x:f>IF($E11="","",SUMIFS('Master_Rules'!$G$4:$G$200,'Master_Rules'!$D$4:$D$200,E11))</x:f>
      </x:c>
      <x:c r="T11" s="75" t="str">
        <x:f>IF($E11="","",IF(S11=0,R11,MAX(S11,CEILING(R11,SUMIFS('Master_Rules'!$H$4:$H$200,'Master_Rules'!$D$4:$D$200,E11)))))</x:f>
      </x:c>
      <x:c r="U11" s="75" t="str">
        <x:f>IF($E11="","",T11*SUMIFS('Master_Rules'!$J$4:$J$200,'Master_Rules'!$D$4:$D$200,E11))</x:f>
      </x:c>
      <x:c r="V11" s="83" t="str">
        <x:f>IF($E11="","",IF(T11&gt;R11,"MOQ 조정",IF(K11="Y","필수품 확인","정상")))</x:f>
      </x:c>
    </x:row>
    <x:row r="12">
      <x:c r="A12" s="71"/>
      <x:c r="B12" s="71"/>
      <x:c r="C12" s="72"/>
      <x:c r="D12" s="72"/>
      <x:c r="E12" s="72"/>
      <x:c r="F12" s="72"/>
      <x:c r="G12" s="72"/>
      <x:c r="H12" s="81" t="str">
        <x:f>IF($E12="","",SUMIFS('Input_OL'!$K$4:$K$200,'Input_OL'!$C$4:$C$200,C12,'Input_OL'!$F$4:$F$200,B12))</x:f>
      </x:c>
      <x:c r="I12" s="81" t="str">
        <x:f>IF($E12="","",SUMIFS('Master_BOM'!$F$4:$F$200,'Master_BOM'!$A$4:$A$200,C12,'Master_BOM'!$C$4:$C$200,E12))</x:f>
      </x:c>
      <x:c r="J12" s="82" t="str">
        <x:f>IF($E12="","",SUMIFS('Master_BOM'!$G$4:$G$200,'Master_BOM'!$A$4:$A$200,C12,'Master_BOM'!$C$4:$C$200,E12))</x:f>
      </x:c>
      <x:c r="K12" s="83" t="str">
        <x:f>IF($E12="","",SUMIFS('Master_BOM'!$H$4:$H$200,'Master_BOM'!$A$4:$A$200,C12,'Master_BOM'!$C$4:$C$200,E12))</x:f>
      </x:c>
      <x:c r="L12" s="75" t="str">
        <x:f>IF($E12="","",IF(K12="Y",H12*I12,H12*I12*J12))</x:f>
      </x:c>
      <x:c r="M12" s="75" t="str">
        <x:f>IF($E12="","",IFERROR(SUMIFS('Master_BOM'!$J$4:$J$200,'Master_BOM'!$C$4:$C$200,E12),0))</x:f>
      </x:c>
      <x:c r="N12" s="75" t="str">
        <x:f>IF($E12="","",L12+M12)</x:f>
      </x:c>
      <x:c r="O12" s="75" t="str">
        <x:f>IF($E12="","",SUMIFS('Input_Inventory'!$G$4:$G$200,'Input_Inventory'!$C$4:$C$200,E12))</x:f>
      </x:c>
      <x:c r="P12" s="75" t="str">
        <x:f>IF($E12="","",SUMIFS('Input_Inventory'!$L$4:$L$200,'Input_Inventory'!$C$4:$C$200,E12,'Input_Inventory'!$F$4:$F$200,B12))</x:f>
      </x:c>
      <x:c r="Q12" s="75" t="str">
        <x:f>IF($E12="","",O12+P12)</x:f>
      </x:c>
      <x:c r="R12" s="75" t="str">
        <x:f>IF($E12="","",MAX(0,N12-Q12))</x:f>
      </x:c>
      <x:c r="S12" s="75" t="str">
        <x:f>IF($E12="","",SUMIFS('Master_Rules'!$G$4:$G$200,'Master_Rules'!$D$4:$D$200,E12))</x:f>
      </x:c>
      <x:c r="T12" s="75" t="str">
        <x:f>IF($E12="","",IF(S12=0,R12,MAX(S12,CEILING(R12,SUMIFS('Master_Rules'!$H$4:$H$200,'Master_Rules'!$D$4:$D$200,E12)))))</x:f>
      </x:c>
      <x:c r="U12" s="75" t="str">
        <x:f>IF($E12="","",T12*SUMIFS('Master_Rules'!$J$4:$J$200,'Master_Rules'!$D$4:$D$200,E12))</x:f>
      </x:c>
      <x:c r="V12" s="83" t="str">
        <x:f>IF($E12="","",IF(T12&gt;R12,"MOQ 조정",IF(K12="Y","필수품 확인","정상")))</x:f>
      </x:c>
    </x:row>
    <x:row r="13">
      <x:c r="A13" s="71"/>
      <x:c r="B13" s="71"/>
      <x:c r="C13" s="72"/>
      <x:c r="D13" s="72"/>
      <x:c r="E13" s="72"/>
      <x:c r="F13" s="72"/>
      <x:c r="G13" s="72"/>
      <x:c r="H13" s="81" t="str">
        <x:f>IF($E13="","",SUMIFS('Input_OL'!$K$4:$K$200,'Input_OL'!$C$4:$C$200,C13,'Input_OL'!$F$4:$F$200,B13))</x:f>
      </x:c>
      <x:c r="I13" s="81" t="str">
        <x:f>IF($E13="","",SUMIFS('Master_BOM'!$F$4:$F$200,'Master_BOM'!$A$4:$A$200,C13,'Master_BOM'!$C$4:$C$200,E13))</x:f>
      </x:c>
      <x:c r="J13" s="82" t="str">
        <x:f>IF($E13="","",SUMIFS('Master_BOM'!$G$4:$G$200,'Master_BOM'!$A$4:$A$200,C13,'Master_BOM'!$C$4:$C$200,E13))</x:f>
      </x:c>
      <x:c r="K13" s="83" t="str">
        <x:f>IF($E13="","",SUMIFS('Master_BOM'!$H$4:$H$200,'Master_BOM'!$A$4:$A$200,C13,'Master_BOM'!$C$4:$C$200,E13))</x:f>
      </x:c>
      <x:c r="L13" s="75" t="str">
        <x:f>IF($E13="","",IF(K13="Y",H13*I13,H13*I13*J13))</x:f>
      </x:c>
      <x:c r="M13" s="75" t="str">
        <x:f>IF($E13="","",IFERROR(SUMIFS('Master_BOM'!$J$4:$J$200,'Master_BOM'!$C$4:$C$200,E13),0))</x:f>
      </x:c>
      <x:c r="N13" s="75" t="str">
        <x:f>IF($E13="","",L13+M13)</x:f>
      </x:c>
      <x:c r="O13" s="75" t="str">
        <x:f>IF($E13="","",SUMIFS('Input_Inventory'!$G$4:$G$200,'Input_Inventory'!$C$4:$C$200,E13))</x:f>
      </x:c>
      <x:c r="P13" s="75" t="str">
        <x:f>IF($E13="","",SUMIFS('Input_Inventory'!$L$4:$L$200,'Input_Inventory'!$C$4:$C$200,E13,'Input_Inventory'!$F$4:$F$200,B13))</x:f>
      </x:c>
      <x:c r="Q13" s="75" t="str">
        <x:f>IF($E13="","",O13+P13)</x:f>
      </x:c>
      <x:c r="R13" s="75" t="str">
        <x:f>IF($E13="","",MAX(0,N13-Q13))</x:f>
      </x:c>
      <x:c r="S13" s="75" t="str">
        <x:f>IF($E13="","",SUMIFS('Master_Rules'!$G$4:$G$200,'Master_Rules'!$D$4:$D$200,E13))</x:f>
      </x:c>
      <x:c r="T13" s="75" t="str">
        <x:f>IF($E13="","",IF(S13=0,R13,MAX(S13,CEILING(R13,SUMIFS('Master_Rules'!$H$4:$H$200,'Master_Rules'!$D$4:$D$200,E13)))))</x:f>
      </x:c>
      <x:c r="U13" s="75" t="str">
        <x:f>IF($E13="","",T13*SUMIFS('Master_Rules'!$J$4:$J$200,'Master_Rules'!$D$4:$D$200,E13))</x:f>
      </x:c>
      <x:c r="V13" s="83" t="str">
        <x:f>IF($E13="","",IF(T13&gt;R13,"MOQ 조정",IF(K13="Y","필수품 확인","정상")))</x:f>
      </x:c>
    </x:row>
    <x:row r="14">
      <x:c r="A14" s="71"/>
      <x:c r="B14" s="71"/>
      <x:c r="C14" s="72"/>
      <x:c r="D14" s="72"/>
      <x:c r="E14" s="72"/>
      <x:c r="F14" s="72"/>
      <x:c r="G14" s="72"/>
      <x:c r="H14" s="81" t="str">
        <x:f>IF($E14="","",SUMIFS('Input_OL'!$K$4:$K$200,'Input_OL'!$C$4:$C$200,C14,'Input_OL'!$F$4:$F$200,B14))</x:f>
      </x:c>
      <x:c r="I14" s="81" t="str">
        <x:f>IF($E14="","",SUMIFS('Master_BOM'!$F$4:$F$200,'Master_BOM'!$A$4:$A$200,C14,'Master_BOM'!$C$4:$C$200,E14))</x:f>
      </x:c>
      <x:c r="J14" s="82" t="str">
        <x:f>IF($E14="","",SUMIFS('Master_BOM'!$G$4:$G$200,'Master_BOM'!$A$4:$A$200,C14,'Master_BOM'!$C$4:$C$200,E14))</x:f>
      </x:c>
      <x:c r="K14" s="83" t="str">
        <x:f>IF($E14="","",SUMIFS('Master_BOM'!$H$4:$H$200,'Master_BOM'!$A$4:$A$200,C14,'Master_BOM'!$C$4:$C$200,E14))</x:f>
      </x:c>
      <x:c r="L14" s="75" t="str">
        <x:f>IF($E14="","",IF(K14="Y",H14*I14,H14*I14*J14))</x:f>
      </x:c>
      <x:c r="M14" s="75" t="str">
        <x:f>IF($E14="","",IFERROR(SUMIFS('Master_BOM'!$J$4:$J$200,'Master_BOM'!$C$4:$C$200,E14),0))</x:f>
      </x:c>
      <x:c r="N14" s="75" t="str">
        <x:f>IF($E14="","",L14+M14)</x:f>
      </x:c>
      <x:c r="O14" s="75" t="str">
        <x:f>IF($E14="","",SUMIFS('Input_Inventory'!$G$4:$G$200,'Input_Inventory'!$C$4:$C$200,E14))</x:f>
      </x:c>
      <x:c r="P14" s="75" t="str">
        <x:f>IF($E14="","",SUMIFS('Input_Inventory'!$L$4:$L$200,'Input_Inventory'!$C$4:$C$200,E14,'Input_Inventory'!$F$4:$F$200,B14))</x:f>
      </x:c>
      <x:c r="Q14" s="75" t="str">
        <x:f>IF($E14="","",O14+P14)</x:f>
      </x:c>
      <x:c r="R14" s="75" t="str">
        <x:f>IF($E14="","",MAX(0,N14-Q14))</x:f>
      </x:c>
      <x:c r="S14" s="75" t="str">
        <x:f>IF($E14="","",SUMIFS('Master_Rules'!$G$4:$G$200,'Master_Rules'!$D$4:$D$200,E14))</x:f>
      </x:c>
      <x:c r="T14" s="75" t="str">
        <x:f>IF($E14="","",IF(S14=0,R14,MAX(S14,CEILING(R14,SUMIFS('Master_Rules'!$H$4:$H$200,'Master_Rules'!$D$4:$D$200,E14)))))</x:f>
      </x:c>
      <x:c r="U14" s="75" t="str">
        <x:f>IF($E14="","",T14*SUMIFS('Master_Rules'!$J$4:$J$200,'Master_Rules'!$D$4:$D$200,E14))</x:f>
      </x:c>
      <x:c r="V14" s="83" t="str">
        <x:f>IF($E14="","",IF(T14&gt;R14,"MOQ 조정",IF(K14="Y","필수품 확인","정상")))</x:f>
      </x:c>
    </x:row>
    <x:row r="15">
      <x:c r="A15" s="71"/>
      <x:c r="B15" s="71"/>
      <x:c r="C15" s="72"/>
      <x:c r="D15" s="72"/>
      <x:c r="E15" s="72"/>
      <x:c r="F15" s="72"/>
      <x:c r="G15" s="72"/>
      <x:c r="H15" s="81" t="str">
        <x:f>IF($E15="","",SUMIFS('Input_OL'!$K$4:$K$200,'Input_OL'!$C$4:$C$200,C15,'Input_OL'!$F$4:$F$200,B15))</x:f>
      </x:c>
      <x:c r="I15" s="81" t="str">
        <x:f>IF($E15="","",SUMIFS('Master_BOM'!$F$4:$F$200,'Master_BOM'!$A$4:$A$200,C15,'Master_BOM'!$C$4:$C$200,E15))</x:f>
      </x:c>
      <x:c r="J15" s="82" t="str">
        <x:f>IF($E15="","",SUMIFS('Master_BOM'!$G$4:$G$200,'Master_BOM'!$A$4:$A$200,C15,'Master_BOM'!$C$4:$C$200,E15))</x:f>
      </x:c>
      <x:c r="K15" s="83" t="str">
        <x:f>IF($E15="","",SUMIFS('Master_BOM'!$H$4:$H$200,'Master_BOM'!$A$4:$A$200,C15,'Master_BOM'!$C$4:$C$200,E15))</x:f>
      </x:c>
      <x:c r="L15" s="75" t="str">
        <x:f>IF($E15="","",IF(K15="Y",H15*I15,H15*I15*J15))</x:f>
      </x:c>
      <x:c r="M15" s="75" t="str">
        <x:f>IF($E15="","",IFERROR(SUMIFS('Master_BOM'!$J$4:$J$200,'Master_BOM'!$C$4:$C$200,E15),0))</x:f>
      </x:c>
      <x:c r="N15" s="75" t="str">
        <x:f>IF($E15="","",L15+M15)</x:f>
      </x:c>
      <x:c r="O15" s="75" t="str">
        <x:f>IF($E15="","",SUMIFS('Input_Inventory'!$G$4:$G$200,'Input_Inventory'!$C$4:$C$200,E15))</x:f>
      </x:c>
      <x:c r="P15" s="75" t="str">
        <x:f>IF($E15="","",SUMIFS('Input_Inventory'!$L$4:$L$200,'Input_Inventory'!$C$4:$C$200,E15,'Input_Inventory'!$F$4:$F$200,B15))</x:f>
      </x:c>
      <x:c r="Q15" s="75" t="str">
        <x:f>IF($E15="","",O15+P15)</x:f>
      </x:c>
      <x:c r="R15" s="75" t="str">
        <x:f>IF($E15="","",MAX(0,N15-Q15))</x:f>
      </x:c>
      <x:c r="S15" s="75" t="str">
        <x:f>IF($E15="","",SUMIFS('Master_Rules'!$G$4:$G$200,'Master_Rules'!$D$4:$D$200,E15))</x:f>
      </x:c>
      <x:c r="T15" s="75" t="str">
        <x:f>IF($E15="","",IF(S15=0,R15,MAX(S15,CEILING(R15,SUMIFS('Master_Rules'!$H$4:$H$200,'Master_Rules'!$D$4:$D$200,E15)))))</x:f>
      </x:c>
      <x:c r="U15" s="75" t="str">
        <x:f>IF($E15="","",T15*SUMIFS('Master_Rules'!$J$4:$J$200,'Master_Rules'!$D$4:$D$200,E15))</x:f>
      </x:c>
      <x:c r="V15" s="83" t="str">
        <x:f>IF($E15="","",IF(T15&gt;R15,"MOQ 조정",IF(K15="Y","필수품 확인","정상")))</x:f>
      </x:c>
    </x:row>
    <x:row r="16">
      <x:c r="A16" s="71"/>
      <x:c r="B16" s="71"/>
      <x:c r="C16" s="72"/>
      <x:c r="D16" s="72"/>
      <x:c r="E16" s="72"/>
      <x:c r="F16" s="72"/>
      <x:c r="G16" s="72"/>
      <x:c r="H16" s="81" t="str">
        <x:f>IF($E16="","",SUMIFS('Input_OL'!$K$4:$K$200,'Input_OL'!$C$4:$C$200,C16,'Input_OL'!$F$4:$F$200,B16))</x:f>
      </x:c>
      <x:c r="I16" s="81" t="str">
        <x:f>IF($E16="","",SUMIFS('Master_BOM'!$F$4:$F$200,'Master_BOM'!$A$4:$A$200,C16,'Master_BOM'!$C$4:$C$200,E16))</x:f>
      </x:c>
      <x:c r="J16" s="82" t="str">
        <x:f>IF($E16="","",SUMIFS('Master_BOM'!$G$4:$G$200,'Master_BOM'!$A$4:$A$200,C16,'Master_BOM'!$C$4:$C$200,E16))</x:f>
      </x:c>
      <x:c r="K16" s="83" t="str">
        <x:f>IF($E16="","",SUMIFS('Master_BOM'!$H$4:$H$200,'Master_BOM'!$A$4:$A$200,C16,'Master_BOM'!$C$4:$C$200,E16))</x:f>
      </x:c>
      <x:c r="L16" s="75" t="str">
        <x:f>IF($E16="","",IF(K16="Y",H16*I16,H16*I16*J16))</x:f>
      </x:c>
      <x:c r="M16" s="75" t="str">
        <x:f>IF($E16="","",IFERROR(SUMIFS('Master_BOM'!$J$4:$J$200,'Master_BOM'!$C$4:$C$200,E16),0))</x:f>
      </x:c>
      <x:c r="N16" s="75" t="str">
        <x:f>IF($E16="","",L16+M16)</x:f>
      </x:c>
      <x:c r="O16" s="75" t="str">
        <x:f>IF($E16="","",SUMIFS('Input_Inventory'!$G$4:$G$200,'Input_Inventory'!$C$4:$C$200,E16))</x:f>
      </x:c>
      <x:c r="P16" s="75" t="str">
        <x:f>IF($E16="","",SUMIFS('Input_Inventory'!$L$4:$L$200,'Input_Inventory'!$C$4:$C$200,E16,'Input_Inventory'!$F$4:$F$200,B16))</x:f>
      </x:c>
      <x:c r="Q16" s="75" t="str">
        <x:f>IF($E16="","",O16+P16)</x:f>
      </x:c>
      <x:c r="R16" s="75" t="str">
        <x:f>IF($E16="","",MAX(0,N16-Q16))</x:f>
      </x:c>
      <x:c r="S16" s="75" t="str">
        <x:f>IF($E16="","",SUMIFS('Master_Rules'!$G$4:$G$200,'Master_Rules'!$D$4:$D$200,E16))</x:f>
      </x:c>
      <x:c r="T16" s="75" t="str">
        <x:f>IF($E16="","",IF(S16=0,R16,MAX(S16,CEILING(R16,SUMIFS('Master_Rules'!$H$4:$H$200,'Master_Rules'!$D$4:$D$200,E16)))))</x:f>
      </x:c>
      <x:c r="U16" s="75" t="str">
        <x:f>IF($E16="","",T16*SUMIFS('Master_Rules'!$J$4:$J$200,'Master_Rules'!$D$4:$D$200,E16))</x:f>
      </x:c>
      <x:c r="V16" s="83" t="str">
        <x:f>IF($E16="","",IF(T16&gt;R16,"MOQ 조정",IF(K16="Y","필수품 확인","정상")))</x:f>
      </x:c>
    </x:row>
    <x:row r="17">
      <x:c r="A17" s="71"/>
      <x:c r="B17" s="71"/>
      <x:c r="C17" s="72"/>
      <x:c r="D17" s="72"/>
      <x:c r="E17" s="72"/>
      <x:c r="F17" s="72"/>
      <x:c r="G17" s="72"/>
      <x:c r="H17" s="81" t="str">
        <x:f>IF($E17="","",SUMIFS('Input_OL'!$K$4:$K$200,'Input_OL'!$C$4:$C$200,C17,'Input_OL'!$F$4:$F$200,B17))</x:f>
      </x:c>
      <x:c r="I17" s="81" t="str">
        <x:f>IF($E17="","",SUMIFS('Master_BOM'!$F$4:$F$200,'Master_BOM'!$A$4:$A$200,C17,'Master_BOM'!$C$4:$C$200,E17))</x:f>
      </x:c>
      <x:c r="J17" s="82" t="str">
        <x:f>IF($E17="","",SUMIFS('Master_BOM'!$G$4:$G$200,'Master_BOM'!$A$4:$A$200,C17,'Master_BOM'!$C$4:$C$200,E17))</x:f>
      </x:c>
      <x:c r="K17" s="83" t="str">
        <x:f>IF($E17="","",SUMIFS('Master_BOM'!$H$4:$H$200,'Master_BOM'!$A$4:$A$200,C17,'Master_BOM'!$C$4:$C$200,E17))</x:f>
      </x:c>
      <x:c r="L17" s="75" t="str">
        <x:f>IF($E17="","",IF(K17="Y",H17*I17,H17*I17*J17))</x:f>
      </x:c>
      <x:c r="M17" s="75" t="str">
        <x:f>IF($E17="","",IFERROR(SUMIFS('Master_BOM'!$J$4:$J$200,'Master_BOM'!$C$4:$C$200,E17),0))</x:f>
      </x:c>
      <x:c r="N17" s="75" t="str">
        <x:f>IF($E17="","",L17+M17)</x:f>
      </x:c>
      <x:c r="O17" s="75" t="str">
        <x:f>IF($E17="","",SUMIFS('Input_Inventory'!$G$4:$G$200,'Input_Inventory'!$C$4:$C$200,E17))</x:f>
      </x:c>
      <x:c r="P17" s="75" t="str">
        <x:f>IF($E17="","",SUMIFS('Input_Inventory'!$L$4:$L$200,'Input_Inventory'!$C$4:$C$200,E17,'Input_Inventory'!$F$4:$F$200,B17))</x:f>
      </x:c>
      <x:c r="Q17" s="75" t="str">
        <x:f>IF($E17="","",O17+P17)</x:f>
      </x:c>
      <x:c r="R17" s="75" t="str">
        <x:f>IF($E17="","",MAX(0,N17-Q17))</x:f>
      </x:c>
      <x:c r="S17" s="75" t="str">
        <x:f>IF($E17="","",SUMIFS('Master_Rules'!$G$4:$G$200,'Master_Rules'!$D$4:$D$200,E17))</x:f>
      </x:c>
      <x:c r="T17" s="75" t="str">
        <x:f>IF($E17="","",IF(S17=0,R17,MAX(S17,CEILING(R17,SUMIFS('Master_Rules'!$H$4:$H$200,'Master_Rules'!$D$4:$D$200,E17)))))</x:f>
      </x:c>
      <x:c r="U17" s="75" t="str">
        <x:f>IF($E17="","",T17*SUMIFS('Master_Rules'!$J$4:$J$200,'Master_Rules'!$D$4:$D$200,E17))</x:f>
      </x:c>
      <x:c r="V17" s="83" t="str">
        <x:f>IF($E17="","",IF(T17&gt;R17,"MOQ 조정",IF(K17="Y","필수품 확인","정상")))</x:f>
      </x:c>
    </x:row>
    <x:row r="18">
      <x:c r="A18" s="71"/>
      <x:c r="B18" s="71"/>
      <x:c r="C18" s="72"/>
      <x:c r="D18" s="72"/>
      <x:c r="E18" s="72"/>
      <x:c r="F18" s="72"/>
      <x:c r="G18" s="72"/>
      <x:c r="H18" s="81" t="str">
        <x:f>IF($E18="","",SUMIFS('Input_OL'!$K$4:$K$200,'Input_OL'!$C$4:$C$200,C18,'Input_OL'!$F$4:$F$200,B18))</x:f>
      </x:c>
      <x:c r="I18" s="81" t="str">
        <x:f>IF($E18="","",SUMIFS('Master_BOM'!$F$4:$F$200,'Master_BOM'!$A$4:$A$200,C18,'Master_BOM'!$C$4:$C$200,E18))</x:f>
      </x:c>
      <x:c r="J18" s="82" t="str">
        <x:f>IF($E18="","",SUMIFS('Master_BOM'!$G$4:$G$200,'Master_BOM'!$A$4:$A$200,C18,'Master_BOM'!$C$4:$C$200,E18))</x:f>
      </x:c>
      <x:c r="K18" s="83" t="str">
        <x:f>IF($E18="","",SUMIFS('Master_BOM'!$H$4:$H$200,'Master_BOM'!$A$4:$A$200,C18,'Master_BOM'!$C$4:$C$200,E18))</x:f>
      </x:c>
      <x:c r="L18" s="75" t="str">
        <x:f>IF($E18="","",IF(K18="Y",H18*I18,H18*I18*J18))</x:f>
      </x:c>
      <x:c r="M18" s="75" t="str">
        <x:f>IF($E18="","",IFERROR(SUMIFS('Master_BOM'!$J$4:$J$200,'Master_BOM'!$C$4:$C$200,E18),0))</x:f>
      </x:c>
      <x:c r="N18" s="75" t="str">
        <x:f>IF($E18="","",L18+M18)</x:f>
      </x:c>
      <x:c r="O18" s="75" t="str">
        <x:f>IF($E18="","",SUMIFS('Input_Inventory'!$G$4:$G$200,'Input_Inventory'!$C$4:$C$200,E18))</x:f>
      </x:c>
      <x:c r="P18" s="75" t="str">
        <x:f>IF($E18="","",SUMIFS('Input_Inventory'!$L$4:$L$200,'Input_Inventory'!$C$4:$C$200,E18,'Input_Inventory'!$F$4:$F$200,B18))</x:f>
      </x:c>
      <x:c r="Q18" s="75" t="str">
        <x:f>IF($E18="","",O18+P18)</x:f>
      </x:c>
      <x:c r="R18" s="75" t="str">
        <x:f>IF($E18="","",MAX(0,N18-Q18))</x:f>
      </x:c>
      <x:c r="S18" s="75" t="str">
        <x:f>IF($E18="","",SUMIFS('Master_Rules'!$G$4:$G$200,'Master_Rules'!$D$4:$D$200,E18))</x:f>
      </x:c>
      <x:c r="T18" s="75" t="str">
        <x:f>IF($E18="","",IF(S18=0,R18,MAX(S18,CEILING(R18,SUMIFS('Master_Rules'!$H$4:$H$200,'Master_Rules'!$D$4:$D$200,E18)))))</x:f>
      </x:c>
      <x:c r="U18" s="75" t="str">
        <x:f>IF($E18="","",T18*SUMIFS('Master_Rules'!$J$4:$J$200,'Master_Rules'!$D$4:$D$200,E18))</x:f>
      </x:c>
      <x:c r="V18" s="83" t="str">
        <x:f>IF($E18="","",IF(T18&gt;R18,"MOQ 조정",IF(K18="Y","필수품 확인","정상")))</x:f>
      </x:c>
    </x:row>
    <x:row r="19">
      <x:c r="A19" s="71"/>
      <x:c r="B19" s="71"/>
      <x:c r="C19" s="72"/>
      <x:c r="D19" s="72"/>
      <x:c r="E19" s="72"/>
      <x:c r="F19" s="72"/>
      <x:c r="G19" s="72"/>
      <x:c r="H19" s="81" t="str">
        <x:f>IF($E19="","",SUMIFS('Input_OL'!$K$4:$K$200,'Input_OL'!$C$4:$C$200,C19,'Input_OL'!$F$4:$F$200,B19))</x:f>
      </x:c>
      <x:c r="I19" s="81" t="str">
        <x:f>IF($E19="","",SUMIFS('Master_BOM'!$F$4:$F$200,'Master_BOM'!$A$4:$A$200,C19,'Master_BOM'!$C$4:$C$200,E19))</x:f>
      </x:c>
      <x:c r="J19" s="82" t="str">
        <x:f>IF($E19="","",SUMIFS('Master_BOM'!$G$4:$G$200,'Master_BOM'!$A$4:$A$200,C19,'Master_BOM'!$C$4:$C$200,E19))</x:f>
      </x:c>
      <x:c r="K19" s="83" t="str">
        <x:f>IF($E19="","",SUMIFS('Master_BOM'!$H$4:$H$200,'Master_BOM'!$A$4:$A$200,C19,'Master_BOM'!$C$4:$C$200,E19))</x:f>
      </x:c>
      <x:c r="L19" s="75" t="str">
        <x:f>IF($E19="","",IF(K19="Y",H19*I19,H19*I19*J19))</x:f>
      </x:c>
      <x:c r="M19" s="75" t="str">
        <x:f>IF($E19="","",IFERROR(SUMIFS('Master_BOM'!$J$4:$J$200,'Master_BOM'!$C$4:$C$200,E19),0))</x:f>
      </x:c>
      <x:c r="N19" s="75" t="str">
        <x:f>IF($E19="","",L19+M19)</x:f>
      </x:c>
      <x:c r="O19" s="75" t="str">
        <x:f>IF($E19="","",SUMIFS('Input_Inventory'!$G$4:$G$200,'Input_Inventory'!$C$4:$C$200,E19))</x:f>
      </x:c>
      <x:c r="P19" s="75" t="str">
        <x:f>IF($E19="","",SUMIFS('Input_Inventory'!$L$4:$L$200,'Input_Inventory'!$C$4:$C$200,E19,'Input_Inventory'!$F$4:$F$200,B19))</x:f>
      </x:c>
      <x:c r="Q19" s="75" t="str">
        <x:f>IF($E19="","",O19+P19)</x:f>
      </x:c>
      <x:c r="R19" s="75" t="str">
        <x:f>IF($E19="","",MAX(0,N19-Q19))</x:f>
      </x:c>
      <x:c r="S19" s="75" t="str">
        <x:f>IF($E19="","",SUMIFS('Master_Rules'!$G$4:$G$200,'Master_Rules'!$D$4:$D$200,E19))</x:f>
      </x:c>
      <x:c r="T19" s="75" t="str">
        <x:f>IF($E19="","",IF(S19=0,R19,MAX(S19,CEILING(R19,SUMIFS('Master_Rules'!$H$4:$H$200,'Master_Rules'!$D$4:$D$200,E19)))))</x:f>
      </x:c>
      <x:c r="U19" s="75" t="str">
        <x:f>IF($E19="","",T19*SUMIFS('Master_Rules'!$J$4:$J$200,'Master_Rules'!$D$4:$D$200,E19))</x:f>
      </x:c>
      <x:c r="V19" s="83" t="str">
        <x:f>IF($E19="","",IF(T19&gt;R19,"MOQ 조정",IF(K19="Y","필수품 확인","정상")))</x:f>
      </x:c>
    </x:row>
    <x:row r="20">
      <x:c r="A20" s="71"/>
      <x:c r="B20" s="71"/>
      <x:c r="C20" s="72"/>
      <x:c r="D20" s="72"/>
      <x:c r="E20" s="72"/>
      <x:c r="F20" s="72"/>
      <x:c r="G20" s="72"/>
      <x:c r="H20" s="81" t="str">
        <x:f>IF($E20="","",SUMIFS('Input_OL'!$K$4:$K$200,'Input_OL'!$C$4:$C$200,C20,'Input_OL'!$F$4:$F$200,B20))</x:f>
      </x:c>
      <x:c r="I20" s="81" t="str">
        <x:f>IF($E20="","",SUMIFS('Master_BOM'!$F$4:$F$200,'Master_BOM'!$A$4:$A$200,C20,'Master_BOM'!$C$4:$C$200,E20))</x:f>
      </x:c>
      <x:c r="J20" s="82" t="str">
        <x:f>IF($E20="","",SUMIFS('Master_BOM'!$G$4:$G$200,'Master_BOM'!$A$4:$A$200,C20,'Master_BOM'!$C$4:$C$200,E20))</x:f>
      </x:c>
      <x:c r="K20" s="83" t="str">
        <x:f>IF($E20="","",SUMIFS('Master_BOM'!$H$4:$H$200,'Master_BOM'!$A$4:$A$200,C20,'Master_BOM'!$C$4:$C$200,E20))</x:f>
      </x:c>
      <x:c r="L20" s="75" t="str">
        <x:f>IF($E20="","",IF(K20="Y",H20*I20,H20*I20*J20))</x:f>
      </x:c>
      <x:c r="M20" s="75" t="str">
        <x:f>IF($E20="","",IFERROR(SUMIFS('Master_BOM'!$J$4:$J$200,'Master_BOM'!$C$4:$C$200,E20),0))</x:f>
      </x:c>
      <x:c r="N20" s="75" t="str">
        <x:f>IF($E20="","",L20+M20)</x:f>
      </x:c>
      <x:c r="O20" s="75" t="str">
        <x:f>IF($E20="","",SUMIFS('Input_Inventory'!$G$4:$G$200,'Input_Inventory'!$C$4:$C$200,E20))</x:f>
      </x:c>
      <x:c r="P20" s="75" t="str">
        <x:f>IF($E20="","",SUMIFS('Input_Inventory'!$L$4:$L$200,'Input_Inventory'!$C$4:$C$200,E20,'Input_Inventory'!$F$4:$F$200,B20))</x:f>
      </x:c>
      <x:c r="Q20" s="75" t="str">
        <x:f>IF($E20="","",O20+P20)</x:f>
      </x:c>
      <x:c r="R20" s="75" t="str">
        <x:f>IF($E20="","",MAX(0,N20-Q20))</x:f>
      </x:c>
      <x:c r="S20" s="75" t="str">
        <x:f>IF($E20="","",SUMIFS('Master_Rules'!$G$4:$G$200,'Master_Rules'!$D$4:$D$200,E20))</x:f>
      </x:c>
      <x:c r="T20" s="75" t="str">
        <x:f>IF($E20="","",IF(S20=0,R20,MAX(S20,CEILING(R20,SUMIFS('Master_Rules'!$H$4:$H$200,'Master_Rules'!$D$4:$D$200,E20)))))</x:f>
      </x:c>
      <x:c r="U20" s="75" t="str">
        <x:f>IF($E20="","",T20*SUMIFS('Master_Rules'!$J$4:$J$200,'Master_Rules'!$D$4:$D$200,E20))</x:f>
      </x:c>
      <x:c r="V20" s="83" t="str">
        <x:f>IF($E20="","",IF(T20&gt;R20,"MOQ 조정",IF(K20="Y","필수품 확인","정상")))</x:f>
      </x:c>
    </x:row>
    <x:row r="21">
      <x:c r="A21" s="71"/>
      <x:c r="B21" s="71"/>
      <x:c r="C21" s="72"/>
      <x:c r="D21" s="72"/>
      <x:c r="E21" s="72"/>
      <x:c r="F21" s="72"/>
      <x:c r="G21" s="72"/>
      <x:c r="H21" s="81" t="str">
        <x:f>IF($E21="","",SUMIFS('Input_OL'!$K$4:$K$200,'Input_OL'!$C$4:$C$200,C21,'Input_OL'!$F$4:$F$200,B21))</x:f>
      </x:c>
      <x:c r="I21" s="81" t="str">
        <x:f>IF($E21="","",SUMIFS('Master_BOM'!$F$4:$F$200,'Master_BOM'!$A$4:$A$200,C21,'Master_BOM'!$C$4:$C$200,E21))</x:f>
      </x:c>
      <x:c r="J21" s="82" t="str">
        <x:f>IF($E21="","",SUMIFS('Master_BOM'!$G$4:$G$200,'Master_BOM'!$A$4:$A$200,C21,'Master_BOM'!$C$4:$C$200,E21))</x:f>
      </x:c>
      <x:c r="K21" s="83" t="str">
        <x:f>IF($E21="","",SUMIFS('Master_BOM'!$H$4:$H$200,'Master_BOM'!$A$4:$A$200,C21,'Master_BOM'!$C$4:$C$200,E21))</x:f>
      </x:c>
      <x:c r="L21" s="75" t="str">
        <x:f>IF($E21="","",IF(K21="Y",H21*I21,H21*I21*J21))</x:f>
      </x:c>
      <x:c r="M21" s="75" t="str">
        <x:f>IF($E21="","",IFERROR(SUMIFS('Master_BOM'!$J$4:$J$200,'Master_BOM'!$C$4:$C$200,E21),0))</x:f>
      </x:c>
      <x:c r="N21" s="75" t="str">
        <x:f>IF($E21="","",L21+M21)</x:f>
      </x:c>
      <x:c r="O21" s="75" t="str">
        <x:f>IF($E21="","",SUMIFS('Input_Inventory'!$G$4:$G$200,'Input_Inventory'!$C$4:$C$200,E21))</x:f>
      </x:c>
      <x:c r="P21" s="75" t="str">
        <x:f>IF($E21="","",SUMIFS('Input_Inventory'!$L$4:$L$200,'Input_Inventory'!$C$4:$C$200,E21,'Input_Inventory'!$F$4:$F$200,B21))</x:f>
      </x:c>
      <x:c r="Q21" s="75" t="str">
        <x:f>IF($E21="","",O21+P21)</x:f>
      </x:c>
      <x:c r="R21" s="75" t="str">
        <x:f>IF($E21="","",MAX(0,N21-Q21))</x:f>
      </x:c>
      <x:c r="S21" s="75" t="str">
        <x:f>IF($E21="","",SUMIFS('Master_Rules'!$G$4:$G$200,'Master_Rules'!$D$4:$D$200,E21))</x:f>
      </x:c>
      <x:c r="T21" s="75" t="str">
        <x:f>IF($E21="","",IF(S21=0,R21,MAX(S21,CEILING(R21,SUMIFS('Master_Rules'!$H$4:$H$200,'Master_Rules'!$D$4:$D$200,E21)))))</x:f>
      </x:c>
      <x:c r="U21" s="75" t="str">
        <x:f>IF($E21="","",T21*SUMIFS('Master_Rules'!$J$4:$J$200,'Master_Rules'!$D$4:$D$200,E21))</x:f>
      </x:c>
      <x:c r="V21" s="83" t="str">
        <x:f>IF($E21="","",IF(T21&gt;R21,"MOQ 조정",IF(K21="Y","필수품 확인","정상")))</x:f>
      </x:c>
    </x:row>
    <x:row r="22">
      <x:c r="A22" s="71"/>
      <x:c r="B22" s="71"/>
      <x:c r="C22" s="72"/>
      <x:c r="D22" s="72"/>
      <x:c r="E22" s="72"/>
      <x:c r="F22" s="72"/>
      <x:c r="G22" s="72"/>
      <x:c r="H22" s="81" t="str">
        <x:f>IF($E22="","",SUMIFS('Input_OL'!$K$4:$K$200,'Input_OL'!$C$4:$C$200,C22,'Input_OL'!$F$4:$F$200,B22))</x:f>
      </x:c>
      <x:c r="I22" s="81" t="str">
        <x:f>IF($E22="","",SUMIFS('Master_BOM'!$F$4:$F$200,'Master_BOM'!$A$4:$A$200,C22,'Master_BOM'!$C$4:$C$200,E22))</x:f>
      </x:c>
      <x:c r="J22" s="82" t="str">
        <x:f>IF($E22="","",SUMIFS('Master_BOM'!$G$4:$G$200,'Master_BOM'!$A$4:$A$200,C22,'Master_BOM'!$C$4:$C$200,E22))</x:f>
      </x:c>
      <x:c r="K22" s="83" t="str">
        <x:f>IF($E22="","",SUMIFS('Master_BOM'!$H$4:$H$200,'Master_BOM'!$A$4:$A$200,C22,'Master_BOM'!$C$4:$C$200,E22))</x:f>
      </x:c>
      <x:c r="L22" s="75" t="str">
        <x:f>IF($E22="","",IF(K22="Y",H22*I22,H22*I22*J22))</x:f>
      </x:c>
      <x:c r="M22" s="75" t="str">
        <x:f>IF($E22="","",IFERROR(SUMIFS('Master_BOM'!$J$4:$J$200,'Master_BOM'!$C$4:$C$200,E22),0))</x:f>
      </x:c>
      <x:c r="N22" s="75" t="str">
        <x:f>IF($E22="","",L22+M22)</x:f>
      </x:c>
      <x:c r="O22" s="75" t="str">
        <x:f>IF($E22="","",SUMIFS('Input_Inventory'!$G$4:$G$200,'Input_Inventory'!$C$4:$C$200,E22))</x:f>
      </x:c>
      <x:c r="P22" s="75" t="str">
        <x:f>IF($E22="","",SUMIFS('Input_Inventory'!$L$4:$L$200,'Input_Inventory'!$C$4:$C$200,E22,'Input_Inventory'!$F$4:$F$200,B22))</x:f>
      </x:c>
      <x:c r="Q22" s="75" t="str">
        <x:f>IF($E22="","",O22+P22)</x:f>
      </x:c>
      <x:c r="R22" s="75" t="str">
        <x:f>IF($E22="","",MAX(0,N22-Q22))</x:f>
      </x:c>
      <x:c r="S22" s="75" t="str">
        <x:f>IF($E22="","",SUMIFS('Master_Rules'!$G$4:$G$200,'Master_Rules'!$D$4:$D$200,E22))</x:f>
      </x:c>
      <x:c r="T22" s="75" t="str">
        <x:f>IF($E22="","",IF(S22=0,R22,MAX(S22,CEILING(R22,SUMIFS('Master_Rules'!$H$4:$H$200,'Master_Rules'!$D$4:$D$200,E22)))))</x:f>
      </x:c>
      <x:c r="U22" s="75" t="str">
        <x:f>IF($E22="","",T22*SUMIFS('Master_Rules'!$J$4:$J$200,'Master_Rules'!$D$4:$D$200,E22))</x:f>
      </x:c>
      <x:c r="V22" s="83" t="str">
        <x:f>IF($E22="","",IF(T22&gt;R22,"MOQ 조정",IF(K22="Y","필수품 확인","정상")))</x:f>
      </x:c>
    </x:row>
    <x:row r="23">
      <x:c r="A23" s="71"/>
      <x:c r="B23" s="71"/>
      <x:c r="C23" s="72"/>
      <x:c r="D23" s="72"/>
      <x:c r="E23" s="72"/>
      <x:c r="F23" s="72"/>
      <x:c r="G23" s="72"/>
      <x:c r="H23" s="81" t="str">
        <x:f>IF($E23="","",SUMIFS('Input_OL'!$K$4:$K$200,'Input_OL'!$C$4:$C$200,C23,'Input_OL'!$F$4:$F$200,B23))</x:f>
      </x:c>
      <x:c r="I23" s="81" t="str">
        <x:f>IF($E23="","",SUMIFS('Master_BOM'!$F$4:$F$200,'Master_BOM'!$A$4:$A$200,C23,'Master_BOM'!$C$4:$C$200,E23))</x:f>
      </x:c>
      <x:c r="J23" s="82" t="str">
        <x:f>IF($E23="","",SUMIFS('Master_BOM'!$G$4:$G$200,'Master_BOM'!$A$4:$A$200,C23,'Master_BOM'!$C$4:$C$200,E23))</x:f>
      </x:c>
      <x:c r="K23" s="83" t="str">
        <x:f>IF($E23="","",SUMIFS('Master_BOM'!$H$4:$H$200,'Master_BOM'!$A$4:$A$200,C23,'Master_BOM'!$C$4:$C$200,E23))</x:f>
      </x:c>
      <x:c r="L23" s="75" t="str">
        <x:f>IF($E23="","",IF(K23="Y",H23*I23,H23*I23*J23))</x:f>
      </x:c>
      <x:c r="M23" s="75" t="str">
        <x:f>IF($E23="","",IFERROR(SUMIFS('Master_BOM'!$J$4:$J$200,'Master_BOM'!$C$4:$C$200,E23),0))</x:f>
      </x:c>
      <x:c r="N23" s="75" t="str">
        <x:f>IF($E23="","",L23+M23)</x:f>
      </x:c>
      <x:c r="O23" s="75" t="str">
        <x:f>IF($E23="","",SUMIFS('Input_Inventory'!$G$4:$G$200,'Input_Inventory'!$C$4:$C$200,E23))</x:f>
      </x:c>
      <x:c r="P23" s="75" t="str">
        <x:f>IF($E23="","",SUMIFS('Input_Inventory'!$L$4:$L$200,'Input_Inventory'!$C$4:$C$200,E23,'Input_Inventory'!$F$4:$F$200,B23))</x:f>
      </x:c>
      <x:c r="Q23" s="75" t="str">
        <x:f>IF($E23="","",O23+P23)</x:f>
      </x:c>
      <x:c r="R23" s="75" t="str">
        <x:f>IF($E23="","",MAX(0,N23-Q23))</x:f>
      </x:c>
      <x:c r="S23" s="75" t="str">
        <x:f>IF($E23="","",SUMIFS('Master_Rules'!$G$4:$G$200,'Master_Rules'!$D$4:$D$200,E23))</x:f>
      </x:c>
      <x:c r="T23" s="75" t="str">
        <x:f>IF($E23="","",IF(S23=0,R23,MAX(S23,CEILING(R23,SUMIFS('Master_Rules'!$H$4:$H$200,'Master_Rules'!$D$4:$D$200,E23)))))</x:f>
      </x:c>
      <x:c r="U23" s="75" t="str">
        <x:f>IF($E23="","",T23*SUMIFS('Master_Rules'!$J$4:$J$200,'Master_Rules'!$D$4:$D$200,E23))</x:f>
      </x:c>
      <x:c r="V23" s="83" t="str">
        <x:f>IF($E23="","",IF(T23&gt;R23,"MOQ 조정",IF(K23="Y","필수품 확인","정상")))</x:f>
      </x:c>
    </x:row>
    <x:row r="24">
      <x:c r="A24" s="71"/>
      <x:c r="B24" s="71"/>
      <x:c r="C24" s="72"/>
      <x:c r="D24" s="72"/>
      <x:c r="E24" s="72"/>
      <x:c r="F24" s="72"/>
      <x:c r="G24" s="72"/>
      <x:c r="H24" s="81" t="str">
        <x:f>IF($E24="","",SUMIFS('Input_OL'!$K$4:$K$200,'Input_OL'!$C$4:$C$200,C24,'Input_OL'!$F$4:$F$200,B24))</x:f>
      </x:c>
      <x:c r="I24" s="81" t="str">
        <x:f>IF($E24="","",SUMIFS('Master_BOM'!$F$4:$F$200,'Master_BOM'!$A$4:$A$200,C24,'Master_BOM'!$C$4:$C$200,E24))</x:f>
      </x:c>
      <x:c r="J24" s="82" t="str">
        <x:f>IF($E24="","",SUMIFS('Master_BOM'!$G$4:$G$200,'Master_BOM'!$A$4:$A$200,C24,'Master_BOM'!$C$4:$C$200,E24))</x:f>
      </x:c>
      <x:c r="K24" s="83" t="str">
        <x:f>IF($E24="","",SUMIFS('Master_BOM'!$H$4:$H$200,'Master_BOM'!$A$4:$A$200,C24,'Master_BOM'!$C$4:$C$200,E24))</x:f>
      </x:c>
      <x:c r="L24" s="75" t="str">
        <x:f>IF($E24="","",IF(K24="Y",H24*I24,H24*I24*J24))</x:f>
      </x:c>
      <x:c r="M24" s="75" t="str">
        <x:f>IF($E24="","",IFERROR(SUMIFS('Master_BOM'!$J$4:$J$200,'Master_BOM'!$C$4:$C$200,E24),0))</x:f>
      </x:c>
      <x:c r="N24" s="75" t="str">
        <x:f>IF($E24="","",L24+M24)</x:f>
      </x:c>
      <x:c r="O24" s="75" t="str">
        <x:f>IF($E24="","",SUMIFS('Input_Inventory'!$G$4:$G$200,'Input_Inventory'!$C$4:$C$200,E24))</x:f>
      </x:c>
      <x:c r="P24" s="75" t="str">
        <x:f>IF($E24="","",SUMIFS('Input_Inventory'!$L$4:$L$200,'Input_Inventory'!$C$4:$C$200,E24,'Input_Inventory'!$F$4:$F$200,B24))</x:f>
      </x:c>
      <x:c r="Q24" s="75" t="str">
        <x:f>IF($E24="","",O24+P24)</x:f>
      </x:c>
      <x:c r="R24" s="75" t="str">
        <x:f>IF($E24="","",MAX(0,N24-Q24))</x:f>
      </x:c>
      <x:c r="S24" s="75" t="str">
        <x:f>IF($E24="","",SUMIFS('Master_Rules'!$G$4:$G$200,'Master_Rules'!$D$4:$D$200,E24))</x:f>
      </x:c>
      <x:c r="T24" s="75" t="str">
        <x:f>IF($E24="","",IF(S24=0,R24,MAX(S24,CEILING(R24,SUMIFS('Master_Rules'!$H$4:$H$200,'Master_Rules'!$D$4:$D$200,E24)))))</x:f>
      </x:c>
      <x:c r="U24" s="75" t="str">
        <x:f>IF($E24="","",T24*SUMIFS('Master_Rules'!$J$4:$J$200,'Master_Rules'!$D$4:$D$200,E24))</x:f>
      </x:c>
      <x:c r="V24" s="83" t="str">
        <x:f>IF($E24="","",IF(T24&gt;R24,"MOQ 조정",IF(K24="Y","필수품 확인","정상")))</x:f>
      </x:c>
    </x:row>
    <x:row r="25">
      <x:c r="A25" s="71"/>
      <x:c r="B25" s="71"/>
      <x:c r="C25" s="72"/>
      <x:c r="D25" s="72"/>
      <x:c r="E25" s="72"/>
      <x:c r="F25" s="72"/>
      <x:c r="G25" s="72"/>
      <x:c r="H25" s="81" t="str">
        <x:f>IF($E25="","",SUMIFS('Input_OL'!$K$4:$K$200,'Input_OL'!$C$4:$C$200,C25,'Input_OL'!$F$4:$F$200,B25))</x:f>
      </x:c>
      <x:c r="I25" s="81" t="str">
        <x:f>IF($E25="","",SUMIFS('Master_BOM'!$F$4:$F$200,'Master_BOM'!$A$4:$A$200,C25,'Master_BOM'!$C$4:$C$200,E25))</x:f>
      </x:c>
      <x:c r="J25" s="82" t="str">
        <x:f>IF($E25="","",SUMIFS('Master_BOM'!$G$4:$G$200,'Master_BOM'!$A$4:$A$200,C25,'Master_BOM'!$C$4:$C$200,E25))</x:f>
      </x:c>
      <x:c r="K25" s="83" t="str">
        <x:f>IF($E25="","",SUMIFS('Master_BOM'!$H$4:$H$200,'Master_BOM'!$A$4:$A$200,C25,'Master_BOM'!$C$4:$C$200,E25))</x:f>
      </x:c>
      <x:c r="L25" s="75" t="str">
        <x:f>IF($E25="","",IF(K25="Y",H25*I25,H25*I25*J25))</x:f>
      </x:c>
      <x:c r="M25" s="75" t="str">
        <x:f>IF($E25="","",IFERROR(SUMIFS('Master_BOM'!$J$4:$J$200,'Master_BOM'!$C$4:$C$200,E25),0))</x:f>
      </x:c>
      <x:c r="N25" s="75" t="str">
        <x:f>IF($E25="","",L25+M25)</x:f>
      </x:c>
      <x:c r="O25" s="75" t="str">
        <x:f>IF($E25="","",SUMIFS('Input_Inventory'!$G$4:$G$200,'Input_Inventory'!$C$4:$C$200,E25))</x:f>
      </x:c>
      <x:c r="P25" s="75" t="str">
        <x:f>IF($E25="","",SUMIFS('Input_Inventory'!$L$4:$L$200,'Input_Inventory'!$C$4:$C$200,E25,'Input_Inventory'!$F$4:$F$200,B25))</x:f>
      </x:c>
      <x:c r="Q25" s="75" t="str">
        <x:f>IF($E25="","",O25+P25)</x:f>
      </x:c>
      <x:c r="R25" s="75" t="str">
        <x:f>IF($E25="","",MAX(0,N25-Q25))</x:f>
      </x:c>
      <x:c r="S25" s="75" t="str">
        <x:f>IF($E25="","",SUMIFS('Master_Rules'!$G$4:$G$200,'Master_Rules'!$D$4:$D$200,E25))</x:f>
      </x:c>
      <x:c r="T25" s="75" t="str">
        <x:f>IF($E25="","",IF(S25=0,R25,MAX(S25,CEILING(R25,SUMIFS('Master_Rules'!$H$4:$H$200,'Master_Rules'!$D$4:$D$200,E25)))))</x:f>
      </x:c>
      <x:c r="U25" s="75" t="str">
        <x:f>IF($E25="","",T25*SUMIFS('Master_Rules'!$J$4:$J$200,'Master_Rules'!$D$4:$D$200,E25))</x:f>
      </x:c>
      <x:c r="V25" s="83" t="str">
        <x:f>IF($E25="","",IF(T25&gt;R25,"MOQ 조정",IF(K25="Y","필수품 확인","정상")))</x:f>
      </x:c>
    </x:row>
    <x:row r="26">
      <x:c r="A26" s="71"/>
      <x:c r="B26" s="71"/>
      <x:c r="C26" s="72"/>
      <x:c r="D26" s="72"/>
      <x:c r="E26" s="72"/>
      <x:c r="F26" s="72"/>
      <x:c r="G26" s="72"/>
      <x:c r="H26" s="81" t="str">
        <x:f>IF($E26="","",SUMIFS('Input_OL'!$K$4:$K$200,'Input_OL'!$C$4:$C$200,C26,'Input_OL'!$F$4:$F$200,B26))</x:f>
      </x:c>
      <x:c r="I26" s="81" t="str">
        <x:f>IF($E26="","",SUMIFS('Master_BOM'!$F$4:$F$200,'Master_BOM'!$A$4:$A$200,C26,'Master_BOM'!$C$4:$C$200,E26))</x:f>
      </x:c>
      <x:c r="J26" s="82" t="str">
        <x:f>IF($E26="","",SUMIFS('Master_BOM'!$G$4:$G$200,'Master_BOM'!$A$4:$A$200,C26,'Master_BOM'!$C$4:$C$200,E26))</x:f>
      </x:c>
      <x:c r="K26" s="83" t="str">
        <x:f>IF($E26="","",SUMIFS('Master_BOM'!$H$4:$H$200,'Master_BOM'!$A$4:$A$200,C26,'Master_BOM'!$C$4:$C$200,E26))</x:f>
      </x:c>
      <x:c r="L26" s="75" t="str">
        <x:f>IF($E26="","",IF(K26="Y",H26*I26,H26*I26*J26))</x:f>
      </x:c>
      <x:c r="M26" s="75" t="str">
        <x:f>IF($E26="","",IFERROR(SUMIFS('Master_BOM'!$J$4:$J$200,'Master_BOM'!$C$4:$C$200,E26),0))</x:f>
      </x:c>
      <x:c r="N26" s="75" t="str">
        <x:f>IF($E26="","",L26+M26)</x:f>
      </x:c>
      <x:c r="O26" s="75" t="str">
        <x:f>IF($E26="","",SUMIFS('Input_Inventory'!$G$4:$G$200,'Input_Inventory'!$C$4:$C$200,E26))</x:f>
      </x:c>
      <x:c r="P26" s="75" t="str">
        <x:f>IF($E26="","",SUMIFS('Input_Inventory'!$L$4:$L$200,'Input_Inventory'!$C$4:$C$200,E26,'Input_Inventory'!$F$4:$F$200,B26))</x:f>
      </x:c>
      <x:c r="Q26" s="75" t="str">
        <x:f>IF($E26="","",O26+P26)</x:f>
      </x:c>
      <x:c r="R26" s="75" t="str">
        <x:f>IF($E26="","",MAX(0,N26-Q26))</x:f>
      </x:c>
      <x:c r="S26" s="75" t="str">
        <x:f>IF($E26="","",SUMIFS('Master_Rules'!$G$4:$G$200,'Master_Rules'!$D$4:$D$200,E26))</x:f>
      </x:c>
      <x:c r="T26" s="75" t="str">
        <x:f>IF($E26="","",IF(S26=0,R26,MAX(S26,CEILING(R26,SUMIFS('Master_Rules'!$H$4:$H$200,'Master_Rules'!$D$4:$D$200,E26)))))</x:f>
      </x:c>
      <x:c r="U26" s="75" t="str">
        <x:f>IF($E26="","",T26*SUMIFS('Master_Rules'!$J$4:$J$200,'Master_Rules'!$D$4:$D$200,E26))</x:f>
      </x:c>
      <x:c r="V26" s="83" t="str">
        <x:f>IF($E26="","",IF(T26&gt;R26,"MOQ 조정",IF(K26="Y","필수품 확인","정상")))</x:f>
      </x:c>
    </x:row>
    <x:row r="27">
      <x:c r="A27" s="71"/>
      <x:c r="B27" s="71"/>
      <x:c r="C27" s="72"/>
      <x:c r="D27" s="72"/>
      <x:c r="E27" s="72"/>
      <x:c r="F27" s="72"/>
      <x:c r="G27" s="72"/>
      <x:c r="H27" s="81" t="str">
        <x:f>IF($E27="","",SUMIFS('Input_OL'!$K$4:$K$200,'Input_OL'!$C$4:$C$200,C27,'Input_OL'!$F$4:$F$200,B27))</x:f>
      </x:c>
      <x:c r="I27" s="81" t="str">
        <x:f>IF($E27="","",SUMIFS('Master_BOM'!$F$4:$F$200,'Master_BOM'!$A$4:$A$200,C27,'Master_BOM'!$C$4:$C$200,E27))</x:f>
      </x:c>
      <x:c r="J27" s="82" t="str">
        <x:f>IF($E27="","",SUMIFS('Master_BOM'!$G$4:$G$200,'Master_BOM'!$A$4:$A$200,C27,'Master_BOM'!$C$4:$C$200,E27))</x:f>
      </x:c>
      <x:c r="K27" s="83" t="str">
        <x:f>IF($E27="","",SUMIFS('Master_BOM'!$H$4:$H$200,'Master_BOM'!$A$4:$A$200,C27,'Master_BOM'!$C$4:$C$200,E27))</x:f>
      </x:c>
      <x:c r="L27" s="75" t="str">
        <x:f>IF($E27="","",IF(K27="Y",H27*I27,H27*I27*J27))</x:f>
      </x:c>
      <x:c r="M27" s="75" t="str">
        <x:f>IF($E27="","",IFERROR(SUMIFS('Master_BOM'!$J$4:$J$200,'Master_BOM'!$C$4:$C$200,E27),0))</x:f>
      </x:c>
      <x:c r="N27" s="75" t="str">
        <x:f>IF($E27="","",L27+M27)</x:f>
      </x:c>
      <x:c r="O27" s="75" t="str">
        <x:f>IF($E27="","",SUMIFS('Input_Inventory'!$G$4:$G$200,'Input_Inventory'!$C$4:$C$200,E27))</x:f>
      </x:c>
      <x:c r="P27" s="75" t="str">
        <x:f>IF($E27="","",SUMIFS('Input_Inventory'!$L$4:$L$200,'Input_Inventory'!$C$4:$C$200,E27,'Input_Inventory'!$F$4:$F$200,B27))</x:f>
      </x:c>
      <x:c r="Q27" s="75" t="str">
        <x:f>IF($E27="","",O27+P27)</x:f>
      </x:c>
      <x:c r="R27" s="75" t="str">
        <x:f>IF($E27="","",MAX(0,N27-Q27))</x:f>
      </x:c>
      <x:c r="S27" s="75" t="str">
        <x:f>IF($E27="","",SUMIFS('Master_Rules'!$G$4:$G$200,'Master_Rules'!$D$4:$D$200,E27))</x:f>
      </x:c>
      <x:c r="T27" s="75" t="str">
        <x:f>IF($E27="","",IF(S27=0,R27,MAX(S27,CEILING(R27,SUMIFS('Master_Rules'!$H$4:$H$200,'Master_Rules'!$D$4:$D$200,E27)))))</x:f>
      </x:c>
      <x:c r="U27" s="75" t="str">
        <x:f>IF($E27="","",T27*SUMIFS('Master_Rules'!$J$4:$J$200,'Master_Rules'!$D$4:$D$200,E27))</x:f>
      </x:c>
      <x:c r="V27" s="83" t="str">
        <x:f>IF($E27="","",IF(T27&gt;R27,"MOQ 조정",IF(K27="Y","필수품 확인","정상")))</x:f>
      </x:c>
    </x:row>
    <x:row r="28">
      <x:c r="A28" s="71"/>
      <x:c r="B28" s="71"/>
      <x:c r="C28" s="72"/>
      <x:c r="D28" s="72"/>
      <x:c r="E28" s="72"/>
      <x:c r="F28" s="72"/>
      <x:c r="G28" s="72"/>
      <x:c r="H28" s="81" t="str">
        <x:f>IF($E28="","",SUMIFS('Input_OL'!$K$4:$K$200,'Input_OL'!$C$4:$C$200,C28,'Input_OL'!$F$4:$F$200,B28))</x:f>
      </x:c>
      <x:c r="I28" s="81" t="str">
        <x:f>IF($E28="","",SUMIFS('Master_BOM'!$F$4:$F$200,'Master_BOM'!$A$4:$A$200,C28,'Master_BOM'!$C$4:$C$200,E28))</x:f>
      </x:c>
      <x:c r="J28" s="82" t="str">
        <x:f>IF($E28="","",SUMIFS('Master_BOM'!$G$4:$G$200,'Master_BOM'!$A$4:$A$200,C28,'Master_BOM'!$C$4:$C$200,E28))</x:f>
      </x:c>
      <x:c r="K28" s="83" t="str">
        <x:f>IF($E28="","",SUMIFS('Master_BOM'!$H$4:$H$200,'Master_BOM'!$A$4:$A$200,C28,'Master_BOM'!$C$4:$C$200,E28))</x:f>
      </x:c>
      <x:c r="L28" s="75" t="str">
        <x:f>IF($E28="","",IF(K28="Y",H28*I28,H28*I28*J28))</x:f>
      </x:c>
      <x:c r="M28" s="75" t="str">
        <x:f>IF($E28="","",IFERROR(SUMIFS('Master_BOM'!$J$4:$J$200,'Master_BOM'!$C$4:$C$200,E28),0))</x:f>
      </x:c>
      <x:c r="N28" s="75" t="str">
        <x:f>IF($E28="","",L28+M28)</x:f>
      </x:c>
      <x:c r="O28" s="75" t="str">
        <x:f>IF($E28="","",SUMIFS('Input_Inventory'!$G$4:$G$200,'Input_Inventory'!$C$4:$C$200,E28))</x:f>
      </x:c>
      <x:c r="P28" s="75" t="str">
        <x:f>IF($E28="","",SUMIFS('Input_Inventory'!$L$4:$L$200,'Input_Inventory'!$C$4:$C$200,E28,'Input_Inventory'!$F$4:$F$200,B28))</x:f>
      </x:c>
      <x:c r="Q28" s="75" t="str">
        <x:f>IF($E28="","",O28+P28)</x:f>
      </x:c>
      <x:c r="R28" s="75" t="str">
        <x:f>IF($E28="","",MAX(0,N28-Q28))</x:f>
      </x:c>
      <x:c r="S28" s="75" t="str">
        <x:f>IF($E28="","",SUMIFS('Master_Rules'!$G$4:$G$200,'Master_Rules'!$D$4:$D$200,E28))</x:f>
      </x:c>
      <x:c r="T28" s="75" t="str">
        <x:f>IF($E28="","",IF(S28=0,R28,MAX(S28,CEILING(R28,SUMIFS('Master_Rules'!$H$4:$H$200,'Master_Rules'!$D$4:$D$200,E28)))))</x:f>
      </x:c>
      <x:c r="U28" s="75" t="str">
        <x:f>IF($E28="","",T28*SUMIFS('Master_Rules'!$J$4:$J$200,'Master_Rules'!$D$4:$D$200,E28))</x:f>
      </x:c>
      <x:c r="V28" s="83" t="str">
        <x:f>IF($E28="","",IF(T28&gt;R28,"MOQ 조정",IF(K28="Y","필수품 확인","정상")))</x:f>
      </x:c>
    </x:row>
    <x:row r="29">
      <x:c r="A29" s="71"/>
      <x:c r="B29" s="71"/>
      <x:c r="C29" s="72"/>
      <x:c r="D29" s="72"/>
      <x:c r="E29" s="72"/>
      <x:c r="F29" s="72"/>
      <x:c r="G29" s="72"/>
      <x:c r="H29" s="81" t="str">
        <x:f>IF($E29="","",SUMIFS('Input_OL'!$K$4:$K$200,'Input_OL'!$C$4:$C$200,C29,'Input_OL'!$F$4:$F$200,B29))</x:f>
      </x:c>
      <x:c r="I29" s="81" t="str">
        <x:f>IF($E29="","",SUMIFS('Master_BOM'!$F$4:$F$200,'Master_BOM'!$A$4:$A$200,C29,'Master_BOM'!$C$4:$C$200,E29))</x:f>
      </x:c>
      <x:c r="J29" s="82" t="str">
        <x:f>IF($E29="","",SUMIFS('Master_BOM'!$G$4:$G$200,'Master_BOM'!$A$4:$A$200,C29,'Master_BOM'!$C$4:$C$200,E29))</x:f>
      </x:c>
      <x:c r="K29" s="83" t="str">
        <x:f>IF($E29="","",SUMIFS('Master_BOM'!$H$4:$H$200,'Master_BOM'!$A$4:$A$200,C29,'Master_BOM'!$C$4:$C$200,E29))</x:f>
      </x:c>
      <x:c r="L29" s="75" t="str">
        <x:f>IF($E29="","",IF(K29="Y",H29*I29,H29*I29*J29))</x:f>
      </x:c>
      <x:c r="M29" s="75" t="str">
        <x:f>IF($E29="","",IFERROR(SUMIFS('Master_BOM'!$J$4:$J$200,'Master_BOM'!$C$4:$C$200,E29),0))</x:f>
      </x:c>
      <x:c r="N29" s="75" t="str">
        <x:f>IF($E29="","",L29+M29)</x:f>
      </x:c>
      <x:c r="O29" s="75" t="str">
        <x:f>IF($E29="","",SUMIFS('Input_Inventory'!$G$4:$G$200,'Input_Inventory'!$C$4:$C$200,E29))</x:f>
      </x:c>
      <x:c r="P29" s="75" t="str">
        <x:f>IF($E29="","",SUMIFS('Input_Inventory'!$L$4:$L$200,'Input_Inventory'!$C$4:$C$200,E29,'Input_Inventory'!$F$4:$F$200,B29))</x:f>
      </x:c>
      <x:c r="Q29" s="75" t="str">
        <x:f>IF($E29="","",O29+P29)</x:f>
      </x:c>
      <x:c r="R29" s="75" t="str">
        <x:f>IF($E29="","",MAX(0,N29-Q29))</x:f>
      </x:c>
      <x:c r="S29" s="75" t="str">
        <x:f>IF($E29="","",SUMIFS('Master_Rules'!$G$4:$G$200,'Master_Rules'!$D$4:$D$200,E29))</x:f>
      </x:c>
      <x:c r="T29" s="75" t="str">
        <x:f>IF($E29="","",IF(S29=0,R29,MAX(S29,CEILING(R29,SUMIFS('Master_Rules'!$H$4:$H$200,'Master_Rules'!$D$4:$D$200,E29)))))</x:f>
      </x:c>
      <x:c r="U29" s="75" t="str">
        <x:f>IF($E29="","",T29*SUMIFS('Master_Rules'!$J$4:$J$200,'Master_Rules'!$D$4:$D$200,E29))</x:f>
      </x:c>
      <x:c r="V29" s="83" t="str">
        <x:f>IF($E29="","",IF(T29&gt;R29,"MOQ 조정",IF(K29="Y","필수품 확인","정상")))</x:f>
      </x:c>
    </x:row>
    <x:row r="30">
      <x:c r="A30" s="71"/>
      <x:c r="B30" s="71"/>
      <x:c r="C30" s="72"/>
      <x:c r="D30" s="72"/>
      <x:c r="E30" s="72"/>
      <x:c r="F30" s="72"/>
      <x:c r="G30" s="72"/>
      <x:c r="H30" s="81" t="str">
        <x:f>IF($E30="","",SUMIFS('Input_OL'!$K$4:$K$200,'Input_OL'!$C$4:$C$200,C30,'Input_OL'!$F$4:$F$200,B30))</x:f>
      </x:c>
      <x:c r="I30" s="81" t="str">
        <x:f>IF($E30="","",SUMIFS('Master_BOM'!$F$4:$F$200,'Master_BOM'!$A$4:$A$200,C30,'Master_BOM'!$C$4:$C$200,E30))</x:f>
      </x:c>
      <x:c r="J30" s="82" t="str">
        <x:f>IF($E30="","",SUMIFS('Master_BOM'!$G$4:$G$200,'Master_BOM'!$A$4:$A$200,C30,'Master_BOM'!$C$4:$C$200,E30))</x:f>
      </x:c>
      <x:c r="K30" s="83" t="str">
        <x:f>IF($E30="","",SUMIFS('Master_BOM'!$H$4:$H$200,'Master_BOM'!$A$4:$A$200,C30,'Master_BOM'!$C$4:$C$200,E30))</x:f>
      </x:c>
      <x:c r="L30" s="75" t="str">
        <x:f>IF($E30="","",IF(K30="Y",H30*I30,H30*I30*J30))</x:f>
      </x:c>
      <x:c r="M30" s="75" t="str">
        <x:f>IF($E30="","",IFERROR(SUMIFS('Master_BOM'!$J$4:$J$200,'Master_BOM'!$C$4:$C$200,E30),0))</x:f>
      </x:c>
      <x:c r="N30" s="75" t="str">
        <x:f>IF($E30="","",L30+M30)</x:f>
      </x:c>
      <x:c r="O30" s="75" t="str">
        <x:f>IF($E30="","",SUMIFS('Input_Inventory'!$G$4:$G$200,'Input_Inventory'!$C$4:$C$200,E30))</x:f>
      </x:c>
      <x:c r="P30" s="75" t="str">
        <x:f>IF($E30="","",SUMIFS('Input_Inventory'!$L$4:$L$200,'Input_Inventory'!$C$4:$C$200,E30,'Input_Inventory'!$F$4:$F$200,B30))</x:f>
      </x:c>
      <x:c r="Q30" s="75" t="str">
        <x:f>IF($E30="","",O30+P30)</x:f>
      </x:c>
      <x:c r="R30" s="75" t="str">
        <x:f>IF($E30="","",MAX(0,N30-Q30))</x:f>
      </x:c>
      <x:c r="S30" s="75" t="str">
        <x:f>IF($E30="","",SUMIFS('Master_Rules'!$G$4:$G$200,'Master_Rules'!$D$4:$D$200,E30))</x:f>
      </x:c>
      <x:c r="T30" s="75" t="str">
        <x:f>IF($E30="","",IF(S30=0,R30,MAX(S30,CEILING(R30,SUMIFS('Master_Rules'!$H$4:$H$200,'Master_Rules'!$D$4:$D$200,E30)))))</x:f>
      </x:c>
      <x:c r="U30" s="75" t="str">
        <x:f>IF($E30="","",T30*SUMIFS('Master_Rules'!$J$4:$J$200,'Master_Rules'!$D$4:$D$200,E30))</x:f>
      </x:c>
      <x:c r="V30" s="83" t="str">
        <x:f>IF($E30="","",IF(T30&gt;R30,"MOQ 조정",IF(K30="Y","필수품 확인","정상")))</x:f>
      </x:c>
    </x:row>
    <x:row r="31">
      <x:c r="A31" s="71"/>
      <x:c r="B31" s="71"/>
      <x:c r="C31" s="72"/>
      <x:c r="D31" s="72"/>
      <x:c r="E31" s="72"/>
      <x:c r="F31" s="72"/>
      <x:c r="G31" s="72"/>
      <x:c r="H31" s="81" t="str">
        <x:f>IF($E31="","",SUMIFS('Input_OL'!$K$4:$K$200,'Input_OL'!$C$4:$C$200,C31,'Input_OL'!$F$4:$F$200,B31))</x:f>
      </x:c>
      <x:c r="I31" s="81" t="str">
        <x:f>IF($E31="","",SUMIFS('Master_BOM'!$F$4:$F$200,'Master_BOM'!$A$4:$A$200,C31,'Master_BOM'!$C$4:$C$200,E31))</x:f>
      </x:c>
      <x:c r="J31" s="82" t="str">
        <x:f>IF($E31="","",SUMIFS('Master_BOM'!$G$4:$G$200,'Master_BOM'!$A$4:$A$200,C31,'Master_BOM'!$C$4:$C$200,E31))</x:f>
      </x:c>
      <x:c r="K31" s="83" t="str">
        <x:f>IF($E31="","",SUMIFS('Master_BOM'!$H$4:$H$200,'Master_BOM'!$A$4:$A$200,C31,'Master_BOM'!$C$4:$C$200,E31))</x:f>
      </x:c>
      <x:c r="L31" s="75" t="str">
        <x:f>IF($E31="","",IF(K31="Y",H31*I31,H31*I31*J31))</x:f>
      </x:c>
      <x:c r="M31" s="75" t="str">
        <x:f>IF($E31="","",IFERROR(SUMIFS('Master_BOM'!$J$4:$J$200,'Master_BOM'!$C$4:$C$200,E31),0))</x:f>
      </x:c>
      <x:c r="N31" s="75" t="str">
        <x:f>IF($E31="","",L31+M31)</x:f>
      </x:c>
      <x:c r="O31" s="75" t="str">
        <x:f>IF($E31="","",SUMIFS('Input_Inventory'!$G$4:$G$200,'Input_Inventory'!$C$4:$C$200,E31))</x:f>
      </x:c>
      <x:c r="P31" s="75" t="str">
        <x:f>IF($E31="","",SUMIFS('Input_Inventory'!$L$4:$L$200,'Input_Inventory'!$C$4:$C$200,E31,'Input_Inventory'!$F$4:$F$200,B31))</x:f>
      </x:c>
      <x:c r="Q31" s="75" t="str">
        <x:f>IF($E31="","",O31+P31)</x:f>
      </x:c>
      <x:c r="R31" s="75" t="str">
        <x:f>IF($E31="","",MAX(0,N31-Q31))</x:f>
      </x:c>
      <x:c r="S31" s="75" t="str">
        <x:f>IF($E31="","",SUMIFS('Master_Rules'!$G$4:$G$200,'Master_Rules'!$D$4:$D$200,E31))</x:f>
      </x:c>
      <x:c r="T31" s="75" t="str">
        <x:f>IF($E31="","",IF(S31=0,R31,MAX(S31,CEILING(R31,SUMIFS('Master_Rules'!$H$4:$H$200,'Master_Rules'!$D$4:$D$200,E31)))))</x:f>
      </x:c>
      <x:c r="U31" s="75" t="str">
        <x:f>IF($E31="","",T31*SUMIFS('Master_Rules'!$J$4:$J$200,'Master_Rules'!$D$4:$D$200,E31))</x:f>
      </x:c>
      <x:c r="V31" s="83" t="str">
        <x:f>IF($E31="","",IF(T31&gt;R31,"MOQ 조정",IF(K31="Y","필수품 확인","정상")))</x:f>
      </x:c>
    </x:row>
    <x:row r="32">
      <x:c r="A32" s="71"/>
      <x:c r="B32" s="71"/>
      <x:c r="C32" s="72"/>
      <x:c r="D32" s="72"/>
      <x:c r="E32" s="72"/>
      <x:c r="F32" s="72"/>
      <x:c r="G32" s="72"/>
      <x:c r="H32" s="81" t="str">
        <x:f>IF($E32="","",SUMIFS('Input_OL'!$K$4:$K$200,'Input_OL'!$C$4:$C$200,C32,'Input_OL'!$F$4:$F$200,B32))</x:f>
      </x:c>
      <x:c r="I32" s="81" t="str">
        <x:f>IF($E32="","",SUMIFS('Master_BOM'!$F$4:$F$200,'Master_BOM'!$A$4:$A$200,C32,'Master_BOM'!$C$4:$C$200,E32))</x:f>
      </x:c>
      <x:c r="J32" s="82" t="str">
        <x:f>IF($E32="","",SUMIFS('Master_BOM'!$G$4:$G$200,'Master_BOM'!$A$4:$A$200,C32,'Master_BOM'!$C$4:$C$200,E32))</x:f>
      </x:c>
      <x:c r="K32" s="83" t="str">
        <x:f>IF($E32="","",SUMIFS('Master_BOM'!$H$4:$H$200,'Master_BOM'!$A$4:$A$200,C32,'Master_BOM'!$C$4:$C$200,E32))</x:f>
      </x:c>
      <x:c r="L32" s="75" t="str">
        <x:f>IF($E32="","",IF(K32="Y",H32*I32,H32*I32*J32))</x:f>
      </x:c>
      <x:c r="M32" s="75" t="str">
        <x:f>IF($E32="","",IFERROR(SUMIFS('Master_BOM'!$J$4:$J$200,'Master_BOM'!$C$4:$C$200,E32),0))</x:f>
      </x:c>
      <x:c r="N32" s="75" t="str">
        <x:f>IF($E32="","",L32+M32)</x:f>
      </x:c>
      <x:c r="O32" s="75" t="str">
        <x:f>IF($E32="","",SUMIFS('Input_Inventory'!$G$4:$G$200,'Input_Inventory'!$C$4:$C$200,E32))</x:f>
      </x:c>
      <x:c r="P32" s="75" t="str">
        <x:f>IF($E32="","",SUMIFS('Input_Inventory'!$L$4:$L$200,'Input_Inventory'!$C$4:$C$200,E32,'Input_Inventory'!$F$4:$F$200,B32))</x:f>
      </x:c>
      <x:c r="Q32" s="75" t="str">
        <x:f>IF($E32="","",O32+P32)</x:f>
      </x:c>
      <x:c r="R32" s="75" t="str">
        <x:f>IF($E32="","",MAX(0,N32-Q32))</x:f>
      </x:c>
      <x:c r="S32" s="75" t="str">
        <x:f>IF($E32="","",SUMIFS('Master_Rules'!$G$4:$G$200,'Master_Rules'!$D$4:$D$200,E32))</x:f>
      </x:c>
      <x:c r="T32" s="75" t="str">
        <x:f>IF($E32="","",IF(S32=0,R32,MAX(S32,CEILING(R32,SUMIFS('Master_Rules'!$H$4:$H$200,'Master_Rules'!$D$4:$D$200,E32)))))</x:f>
      </x:c>
      <x:c r="U32" s="75" t="str">
        <x:f>IF($E32="","",T32*SUMIFS('Master_Rules'!$J$4:$J$200,'Master_Rules'!$D$4:$D$200,E32))</x:f>
      </x:c>
      <x:c r="V32" s="83" t="str">
        <x:f>IF($E32="","",IF(T32&gt;R32,"MOQ 조정",IF(K32="Y","필수품 확인","정상")))</x:f>
      </x:c>
    </x:row>
    <x:row r="33">
      <x:c r="A33" s="71"/>
      <x:c r="B33" s="71"/>
      <x:c r="C33" s="72"/>
      <x:c r="D33" s="72"/>
      <x:c r="E33" s="72"/>
      <x:c r="F33" s="72"/>
      <x:c r="G33" s="72"/>
      <x:c r="H33" s="81" t="str">
        <x:f>IF($E33="","",SUMIFS('Input_OL'!$K$4:$K$200,'Input_OL'!$C$4:$C$200,C33,'Input_OL'!$F$4:$F$200,B33))</x:f>
      </x:c>
      <x:c r="I33" s="81" t="str">
        <x:f>IF($E33="","",SUMIFS('Master_BOM'!$F$4:$F$200,'Master_BOM'!$A$4:$A$200,C33,'Master_BOM'!$C$4:$C$200,E33))</x:f>
      </x:c>
      <x:c r="J33" s="82" t="str">
        <x:f>IF($E33="","",SUMIFS('Master_BOM'!$G$4:$G$200,'Master_BOM'!$A$4:$A$200,C33,'Master_BOM'!$C$4:$C$200,E33))</x:f>
      </x:c>
      <x:c r="K33" s="83" t="str">
        <x:f>IF($E33="","",SUMIFS('Master_BOM'!$H$4:$H$200,'Master_BOM'!$A$4:$A$200,C33,'Master_BOM'!$C$4:$C$200,E33))</x:f>
      </x:c>
      <x:c r="L33" s="75" t="str">
        <x:f>IF($E33="","",IF(K33="Y",H33*I33,H33*I33*J33))</x:f>
      </x:c>
      <x:c r="M33" s="75" t="str">
        <x:f>IF($E33="","",IFERROR(SUMIFS('Master_BOM'!$J$4:$J$200,'Master_BOM'!$C$4:$C$200,E33),0))</x:f>
      </x:c>
      <x:c r="N33" s="75" t="str">
        <x:f>IF($E33="","",L33+M33)</x:f>
      </x:c>
      <x:c r="O33" s="75" t="str">
        <x:f>IF($E33="","",SUMIFS('Input_Inventory'!$G$4:$G$200,'Input_Inventory'!$C$4:$C$200,E33))</x:f>
      </x:c>
      <x:c r="P33" s="75" t="str">
        <x:f>IF($E33="","",SUMIFS('Input_Inventory'!$L$4:$L$200,'Input_Inventory'!$C$4:$C$200,E33,'Input_Inventory'!$F$4:$F$200,B33))</x:f>
      </x:c>
      <x:c r="Q33" s="75" t="str">
        <x:f>IF($E33="","",O33+P33)</x:f>
      </x:c>
      <x:c r="R33" s="75" t="str">
        <x:f>IF($E33="","",MAX(0,N33-Q33))</x:f>
      </x:c>
      <x:c r="S33" s="75" t="str">
        <x:f>IF($E33="","",SUMIFS('Master_Rules'!$G$4:$G$200,'Master_Rules'!$D$4:$D$200,E33))</x:f>
      </x:c>
      <x:c r="T33" s="75" t="str">
        <x:f>IF($E33="","",IF(S33=0,R33,MAX(S33,CEILING(R33,SUMIFS('Master_Rules'!$H$4:$H$200,'Master_Rules'!$D$4:$D$200,E33)))))</x:f>
      </x:c>
      <x:c r="U33" s="75" t="str">
        <x:f>IF($E33="","",T33*SUMIFS('Master_Rules'!$J$4:$J$200,'Master_Rules'!$D$4:$D$200,E33))</x:f>
      </x:c>
      <x:c r="V33" s="83" t="str">
        <x:f>IF($E33="","",IF(T33&gt;R33,"MOQ 조정",IF(K33="Y","필수품 확인","정상")))</x:f>
      </x:c>
    </x:row>
    <x:row r="34">
      <x:c r="A34" s="71"/>
      <x:c r="B34" s="71"/>
      <x:c r="C34" s="72"/>
      <x:c r="D34" s="72"/>
      <x:c r="E34" s="72"/>
      <x:c r="F34" s="72"/>
      <x:c r="G34" s="72"/>
      <x:c r="H34" s="81" t="str">
        <x:f>IF($E34="","",SUMIFS('Input_OL'!$K$4:$K$200,'Input_OL'!$C$4:$C$200,C34,'Input_OL'!$F$4:$F$200,B34))</x:f>
      </x:c>
      <x:c r="I34" s="81" t="str">
        <x:f>IF($E34="","",SUMIFS('Master_BOM'!$F$4:$F$200,'Master_BOM'!$A$4:$A$200,C34,'Master_BOM'!$C$4:$C$200,E34))</x:f>
      </x:c>
      <x:c r="J34" s="82" t="str">
        <x:f>IF($E34="","",SUMIFS('Master_BOM'!$G$4:$G$200,'Master_BOM'!$A$4:$A$200,C34,'Master_BOM'!$C$4:$C$200,E34))</x:f>
      </x:c>
      <x:c r="K34" s="83" t="str">
        <x:f>IF($E34="","",SUMIFS('Master_BOM'!$H$4:$H$200,'Master_BOM'!$A$4:$A$200,C34,'Master_BOM'!$C$4:$C$200,E34))</x:f>
      </x:c>
      <x:c r="L34" s="75" t="str">
        <x:f>IF($E34="","",IF(K34="Y",H34*I34,H34*I34*J34))</x:f>
      </x:c>
      <x:c r="M34" s="75" t="str">
        <x:f>IF($E34="","",IFERROR(SUMIFS('Master_BOM'!$J$4:$J$200,'Master_BOM'!$C$4:$C$200,E34),0))</x:f>
      </x:c>
      <x:c r="N34" s="75" t="str">
        <x:f>IF($E34="","",L34+M34)</x:f>
      </x:c>
      <x:c r="O34" s="75" t="str">
        <x:f>IF($E34="","",SUMIFS('Input_Inventory'!$G$4:$G$200,'Input_Inventory'!$C$4:$C$200,E34))</x:f>
      </x:c>
      <x:c r="P34" s="75" t="str">
        <x:f>IF($E34="","",SUMIFS('Input_Inventory'!$L$4:$L$200,'Input_Inventory'!$C$4:$C$200,E34,'Input_Inventory'!$F$4:$F$200,B34))</x:f>
      </x:c>
      <x:c r="Q34" s="75" t="str">
        <x:f>IF($E34="","",O34+P34)</x:f>
      </x:c>
      <x:c r="R34" s="75" t="str">
        <x:f>IF($E34="","",MAX(0,N34-Q34))</x:f>
      </x:c>
      <x:c r="S34" s="75" t="str">
        <x:f>IF($E34="","",SUMIFS('Master_Rules'!$G$4:$G$200,'Master_Rules'!$D$4:$D$200,E34))</x:f>
      </x:c>
      <x:c r="T34" s="75" t="str">
        <x:f>IF($E34="","",IF(S34=0,R34,MAX(S34,CEILING(R34,SUMIFS('Master_Rules'!$H$4:$H$200,'Master_Rules'!$D$4:$D$200,E34)))))</x:f>
      </x:c>
      <x:c r="U34" s="75" t="str">
        <x:f>IF($E34="","",T34*SUMIFS('Master_Rules'!$J$4:$J$200,'Master_Rules'!$D$4:$D$200,E34))</x:f>
      </x:c>
      <x:c r="V34" s="83" t="str">
        <x:f>IF($E34="","",IF(T34&gt;R34,"MOQ 조정",IF(K34="Y","필수품 확인","정상")))</x:f>
      </x:c>
    </x:row>
    <x:row r="35">
      <x:c r="A35" s="71"/>
      <x:c r="B35" s="71"/>
      <x:c r="C35" s="72"/>
      <x:c r="D35" s="72"/>
      <x:c r="E35" s="72"/>
      <x:c r="F35" s="72"/>
      <x:c r="G35" s="72"/>
      <x:c r="H35" s="81" t="str">
        <x:f>IF($E35="","",SUMIFS('Input_OL'!$K$4:$K$200,'Input_OL'!$C$4:$C$200,C35,'Input_OL'!$F$4:$F$200,B35))</x:f>
      </x:c>
      <x:c r="I35" s="81" t="str">
        <x:f>IF($E35="","",SUMIFS('Master_BOM'!$F$4:$F$200,'Master_BOM'!$A$4:$A$200,C35,'Master_BOM'!$C$4:$C$200,E35))</x:f>
      </x:c>
      <x:c r="J35" s="82" t="str">
        <x:f>IF($E35="","",SUMIFS('Master_BOM'!$G$4:$G$200,'Master_BOM'!$A$4:$A$200,C35,'Master_BOM'!$C$4:$C$200,E35))</x:f>
      </x:c>
      <x:c r="K35" s="83" t="str">
        <x:f>IF($E35="","",SUMIFS('Master_BOM'!$H$4:$H$200,'Master_BOM'!$A$4:$A$200,C35,'Master_BOM'!$C$4:$C$200,E35))</x:f>
      </x:c>
      <x:c r="L35" s="75" t="str">
        <x:f>IF($E35="","",IF(K35="Y",H35*I35,H35*I35*J35))</x:f>
      </x:c>
      <x:c r="M35" s="75" t="str">
        <x:f>IF($E35="","",IFERROR(SUMIFS('Master_BOM'!$J$4:$J$200,'Master_BOM'!$C$4:$C$200,E35),0))</x:f>
      </x:c>
      <x:c r="N35" s="75" t="str">
        <x:f>IF($E35="","",L35+M35)</x:f>
      </x:c>
      <x:c r="O35" s="75" t="str">
        <x:f>IF($E35="","",SUMIFS('Input_Inventory'!$G$4:$G$200,'Input_Inventory'!$C$4:$C$200,E35))</x:f>
      </x:c>
      <x:c r="P35" s="75" t="str">
        <x:f>IF($E35="","",SUMIFS('Input_Inventory'!$L$4:$L$200,'Input_Inventory'!$C$4:$C$200,E35,'Input_Inventory'!$F$4:$F$200,B35))</x:f>
      </x:c>
      <x:c r="Q35" s="75" t="str">
        <x:f>IF($E35="","",O35+P35)</x:f>
      </x:c>
      <x:c r="R35" s="75" t="str">
        <x:f>IF($E35="","",MAX(0,N35-Q35))</x:f>
      </x:c>
      <x:c r="S35" s="75" t="str">
        <x:f>IF($E35="","",SUMIFS('Master_Rules'!$G$4:$G$200,'Master_Rules'!$D$4:$D$200,E35))</x:f>
      </x:c>
      <x:c r="T35" s="75" t="str">
        <x:f>IF($E35="","",IF(S35=0,R35,MAX(S35,CEILING(R35,SUMIFS('Master_Rules'!$H$4:$H$200,'Master_Rules'!$D$4:$D$200,E35)))))</x:f>
      </x:c>
      <x:c r="U35" s="75" t="str">
        <x:f>IF($E35="","",T35*SUMIFS('Master_Rules'!$J$4:$J$200,'Master_Rules'!$D$4:$D$200,E35))</x:f>
      </x:c>
      <x:c r="V35" s="83" t="str">
        <x:f>IF($E35="","",IF(T35&gt;R35,"MOQ 조정",IF(K35="Y","필수품 확인","정상")))</x:f>
      </x:c>
    </x:row>
    <x:row r="36">
      <x:c r="A36" s="71"/>
      <x:c r="B36" s="71"/>
      <x:c r="C36" s="72"/>
      <x:c r="D36" s="72"/>
      <x:c r="E36" s="72"/>
      <x:c r="F36" s="72"/>
      <x:c r="G36" s="72"/>
      <x:c r="H36" s="81" t="str">
        <x:f>IF($E36="","",SUMIFS('Input_OL'!$K$4:$K$200,'Input_OL'!$C$4:$C$200,C36,'Input_OL'!$F$4:$F$200,B36))</x:f>
      </x:c>
      <x:c r="I36" s="81" t="str">
        <x:f>IF($E36="","",SUMIFS('Master_BOM'!$F$4:$F$200,'Master_BOM'!$A$4:$A$200,C36,'Master_BOM'!$C$4:$C$200,E36))</x:f>
      </x:c>
      <x:c r="J36" s="82" t="str">
        <x:f>IF($E36="","",SUMIFS('Master_BOM'!$G$4:$G$200,'Master_BOM'!$A$4:$A$200,C36,'Master_BOM'!$C$4:$C$200,E36))</x:f>
      </x:c>
      <x:c r="K36" s="83" t="str">
        <x:f>IF($E36="","",SUMIFS('Master_BOM'!$H$4:$H$200,'Master_BOM'!$A$4:$A$200,C36,'Master_BOM'!$C$4:$C$200,E36))</x:f>
      </x:c>
      <x:c r="L36" s="75" t="str">
        <x:f>IF($E36="","",IF(K36="Y",H36*I36,H36*I36*J36))</x:f>
      </x:c>
      <x:c r="M36" s="75" t="str">
        <x:f>IF($E36="","",IFERROR(SUMIFS('Master_BOM'!$J$4:$J$200,'Master_BOM'!$C$4:$C$200,E36),0))</x:f>
      </x:c>
      <x:c r="N36" s="75" t="str">
        <x:f>IF($E36="","",L36+M36)</x:f>
      </x:c>
      <x:c r="O36" s="75" t="str">
        <x:f>IF($E36="","",SUMIFS('Input_Inventory'!$G$4:$G$200,'Input_Inventory'!$C$4:$C$200,E36))</x:f>
      </x:c>
      <x:c r="P36" s="75" t="str">
        <x:f>IF($E36="","",SUMIFS('Input_Inventory'!$L$4:$L$200,'Input_Inventory'!$C$4:$C$200,E36,'Input_Inventory'!$F$4:$F$200,B36))</x:f>
      </x:c>
      <x:c r="Q36" s="75" t="str">
        <x:f>IF($E36="","",O36+P36)</x:f>
      </x:c>
      <x:c r="R36" s="75" t="str">
        <x:f>IF($E36="","",MAX(0,N36-Q36))</x:f>
      </x:c>
      <x:c r="S36" s="75" t="str">
        <x:f>IF($E36="","",SUMIFS('Master_Rules'!$G$4:$G$200,'Master_Rules'!$D$4:$D$200,E36))</x:f>
      </x:c>
      <x:c r="T36" s="75" t="str">
        <x:f>IF($E36="","",IF(S36=0,R36,MAX(S36,CEILING(R36,SUMIFS('Master_Rules'!$H$4:$H$200,'Master_Rules'!$D$4:$D$200,E36)))))</x:f>
      </x:c>
      <x:c r="U36" s="75" t="str">
        <x:f>IF($E36="","",T36*SUMIFS('Master_Rules'!$J$4:$J$200,'Master_Rules'!$D$4:$D$200,E36))</x:f>
      </x:c>
      <x:c r="V36" s="83" t="str">
        <x:f>IF($E36="","",IF(T36&gt;R36,"MOQ 조정",IF(K36="Y","필수품 확인","정상")))</x:f>
      </x:c>
    </x:row>
    <x:row r="37">
      <x:c r="A37" s="71"/>
      <x:c r="B37" s="71"/>
      <x:c r="C37" s="72"/>
      <x:c r="D37" s="72"/>
      <x:c r="E37" s="72"/>
      <x:c r="F37" s="72"/>
      <x:c r="G37" s="72"/>
      <x:c r="H37" s="81" t="str">
        <x:f>IF($E37="","",SUMIFS('Input_OL'!$K$4:$K$200,'Input_OL'!$C$4:$C$200,C37,'Input_OL'!$F$4:$F$200,B37))</x:f>
      </x:c>
      <x:c r="I37" s="81" t="str">
        <x:f>IF($E37="","",SUMIFS('Master_BOM'!$F$4:$F$200,'Master_BOM'!$A$4:$A$200,C37,'Master_BOM'!$C$4:$C$200,E37))</x:f>
      </x:c>
      <x:c r="J37" s="82" t="str">
        <x:f>IF($E37="","",SUMIFS('Master_BOM'!$G$4:$G$200,'Master_BOM'!$A$4:$A$200,C37,'Master_BOM'!$C$4:$C$200,E37))</x:f>
      </x:c>
      <x:c r="K37" s="83" t="str">
        <x:f>IF($E37="","",SUMIFS('Master_BOM'!$H$4:$H$200,'Master_BOM'!$A$4:$A$200,C37,'Master_BOM'!$C$4:$C$200,E37))</x:f>
      </x:c>
      <x:c r="L37" s="75" t="str">
        <x:f>IF($E37="","",IF(K37="Y",H37*I37,H37*I37*J37))</x:f>
      </x:c>
      <x:c r="M37" s="75" t="str">
        <x:f>IF($E37="","",IFERROR(SUMIFS('Master_BOM'!$J$4:$J$200,'Master_BOM'!$C$4:$C$200,E37),0))</x:f>
      </x:c>
      <x:c r="N37" s="75" t="str">
        <x:f>IF($E37="","",L37+M37)</x:f>
      </x:c>
      <x:c r="O37" s="75" t="str">
        <x:f>IF($E37="","",SUMIFS('Input_Inventory'!$G$4:$G$200,'Input_Inventory'!$C$4:$C$200,E37))</x:f>
      </x:c>
      <x:c r="P37" s="75" t="str">
        <x:f>IF($E37="","",SUMIFS('Input_Inventory'!$L$4:$L$200,'Input_Inventory'!$C$4:$C$200,E37,'Input_Inventory'!$F$4:$F$200,B37))</x:f>
      </x:c>
      <x:c r="Q37" s="75" t="str">
        <x:f>IF($E37="","",O37+P37)</x:f>
      </x:c>
      <x:c r="R37" s="75" t="str">
        <x:f>IF($E37="","",MAX(0,N37-Q37))</x:f>
      </x:c>
      <x:c r="S37" s="75" t="str">
        <x:f>IF($E37="","",SUMIFS('Master_Rules'!$G$4:$G$200,'Master_Rules'!$D$4:$D$200,E37))</x:f>
      </x:c>
      <x:c r="T37" s="75" t="str">
        <x:f>IF($E37="","",IF(S37=0,R37,MAX(S37,CEILING(R37,SUMIFS('Master_Rules'!$H$4:$H$200,'Master_Rules'!$D$4:$D$200,E37)))))</x:f>
      </x:c>
      <x:c r="U37" s="75" t="str">
        <x:f>IF($E37="","",T37*SUMIFS('Master_Rules'!$J$4:$J$200,'Master_Rules'!$D$4:$D$200,E37))</x:f>
      </x:c>
      <x:c r="V37" s="83" t="str">
        <x:f>IF($E37="","",IF(T37&gt;R37,"MOQ 조정",IF(K37="Y","필수품 확인","정상")))</x:f>
      </x:c>
    </x:row>
    <x:row r="38">
      <x:c r="A38" s="71"/>
      <x:c r="B38" s="71"/>
      <x:c r="C38" s="72"/>
      <x:c r="D38" s="72"/>
      <x:c r="E38" s="72"/>
      <x:c r="F38" s="72"/>
      <x:c r="G38" s="72"/>
      <x:c r="H38" s="81" t="str">
        <x:f>IF($E38="","",SUMIFS('Input_OL'!$K$4:$K$200,'Input_OL'!$C$4:$C$200,C38,'Input_OL'!$F$4:$F$200,B38))</x:f>
      </x:c>
      <x:c r="I38" s="81" t="str">
        <x:f>IF($E38="","",SUMIFS('Master_BOM'!$F$4:$F$200,'Master_BOM'!$A$4:$A$200,C38,'Master_BOM'!$C$4:$C$200,E38))</x:f>
      </x:c>
      <x:c r="J38" s="82" t="str">
        <x:f>IF($E38="","",SUMIFS('Master_BOM'!$G$4:$G$200,'Master_BOM'!$A$4:$A$200,C38,'Master_BOM'!$C$4:$C$200,E38))</x:f>
      </x:c>
      <x:c r="K38" s="83" t="str">
        <x:f>IF($E38="","",SUMIFS('Master_BOM'!$H$4:$H$200,'Master_BOM'!$A$4:$A$200,C38,'Master_BOM'!$C$4:$C$200,E38))</x:f>
      </x:c>
      <x:c r="L38" s="75" t="str">
        <x:f>IF($E38="","",IF(K38="Y",H38*I38,H38*I38*J38))</x:f>
      </x:c>
      <x:c r="M38" s="75" t="str">
        <x:f>IF($E38="","",IFERROR(SUMIFS('Master_BOM'!$J$4:$J$200,'Master_BOM'!$C$4:$C$200,E38),0))</x:f>
      </x:c>
      <x:c r="N38" s="75" t="str">
        <x:f>IF($E38="","",L38+M38)</x:f>
      </x:c>
      <x:c r="O38" s="75" t="str">
        <x:f>IF($E38="","",SUMIFS('Input_Inventory'!$G$4:$G$200,'Input_Inventory'!$C$4:$C$200,E38))</x:f>
      </x:c>
      <x:c r="P38" s="75" t="str">
        <x:f>IF($E38="","",SUMIFS('Input_Inventory'!$L$4:$L$200,'Input_Inventory'!$C$4:$C$200,E38,'Input_Inventory'!$F$4:$F$200,B38))</x:f>
      </x:c>
      <x:c r="Q38" s="75" t="str">
        <x:f>IF($E38="","",O38+P38)</x:f>
      </x:c>
      <x:c r="R38" s="75" t="str">
        <x:f>IF($E38="","",MAX(0,N38-Q38))</x:f>
      </x:c>
      <x:c r="S38" s="75" t="str">
        <x:f>IF($E38="","",SUMIFS('Master_Rules'!$G$4:$G$200,'Master_Rules'!$D$4:$D$200,E38))</x:f>
      </x:c>
      <x:c r="T38" s="75" t="str">
        <x:f>IF($E38="","",IF(S38=0,R38,MAX(S38,CEILING(R38,SUMIFS('Master_Rules'!$H$4:$H$200,'Master_Rules'!$D$4:$D$200,E38)))))</x:f>
      </x:c>
      <x:c r="U38" s="75" t="str">
        <x:f>IF($E38="","",T38*SUMIFS('Master_Rules'!$J$4:$J$200,'Master_Rules'!$D$4:$D$200,E38))</x:f>
      </x:c>
      <x:c r="V38" s="83" t="str">
        <x:f>IF($E38="","",IF(T38&gt;R38,"MOQ 조정",IF(K38="Y","필수품 확인","정상")))</x:f>
      </x:c>
    </x:row>
    <x:row r="39">
      <x:c r="A39" s="71"/>
      <x:c r="B39" s="71"/>
      <x:c r="C39" s="72"/>
      <x:c r="D39" s="72"/>
      <x:c r="E39" s="72"/>
      <x:c r="F39" s="72"/>
      <x:c r="G39" s="72"/>
      <x:c r="H39" s="81" t="str">
        <x:f>IF($E39="","",SUMIFS('Input_OL'!$K$4:$K$200,'Input_OL'!$C$4:$C$200,C39,'Input_OL'!$F$4:$F$200,B39))</x:f>
      </x:c>
      <x:c r="I39" s="81" t="str">
        <x:f>IF($E39="","",SUMIFS('Master_BOM'!$F$4:$F$200,'Master_BOM'!$A$4:$A$200,C39,'Master_BOM'!$C$4:$C$200,E39))</x:f>
      </x:c>
      <x:c r="J39" s="82" t="str">
        <x:f>IF($E39="","",SUMIFS('Master_BOM'!$G$4:$G$200,'Master_BOM'!$A$4:$A$200,C39,'Master_BOM'!$C$4:$C$200,E39))</x:f>
      </x:c>
      <x:c r="K39" s="83" t="str">
        <x:f>IF($E39="","",SUMIFS('Master_BOM'!$H$4:$H$200,'Master_BOM'!$A$4:$A$200,C39,'Master_BOM'!$C$4:$C$200,E39))</x:f>
      </x:c>
      <x:c r="L39" s="75" t="str">
        <x:f>IF($E39="","",IF(K39="Y",H39*I39,H39*I39*J39))</x:f>
      </x:c>
      <x:c r="M39" s="75" t="str">
        <x:f>IF($E39="","",IFERROR(SUMIFS('Master_BOM'!$J$4:$J$200,'Master_BOM'!$C$4:$C$200,E39),0))</x:f>
      </x:c>
      <x:c r="N39" s="75" t="str">
        <x:f>IF($E39="","",L39+M39)</x:f>
      </x:c>
      <x:c r="O39" s="75" t="str">
        <x:f>IF($E39="","",SUMIFS('Input_Inventory'!$G$4:$G$200,'Input_Inventory'!$C$4:$C$200,E39))</x:f>
      </x:c>
      <x:c r="P39" s="75" t="str">
        <x:f>IF($E39="","",SUMIFS('Input_Inventory'!$L$4:$L$200,'Input_Inventory'!$C$4:$C$200,E39,'Input_Inventory'!$F$4:$F$200,B39))</x:f>
      </x:c>
      <x:c r="Q39" s="75" t="str">
        <x:f>IF($E39="","",O39+P39)</x:f>
      </x:c>
      <x:c r="R39" s="75" t="str">
        <x:f>IF($E39="","",MAX(0,N39-Q39))</x:f>
      </x:c>
      <x:c r="S39" s="75" t="str">
        <x:f>IF($E39="","",SUMIFS('Master_Rules'!$G$4:$G$200,'Master_Rules'!$D$4:$D$200,E39))</x:f>
      </x:c>
      <x:c r="T39" s="75" t="str">
        <x:f>IF($E39="","",IF(S39=0,R39,MAX(S39,CEILING(R39,SUMIFS('Master_Rules'!$H$4:$H$200,'Master_Rules'!$D$4:$D$200,E39)))))</x:f>
      </x:c>
      <x:c r="U39" s="75" t="str">
        <x:f>IF($E39="","",T39*SUMIFS('Master_Rules'!$J$4:$J$200,'Master_Rules'!$D$4:$D$200,E39))</x:f>
      </x:c>
      <x:c r="V39" s="83" t="str">
        <x:f>IF($E39="","",IF(T39&gt;R39,"MOQ 조정",IF(K39="Y","필수품 확인","정상")))</x:f>
      </x:c>
    </x:row>
    <x:row r="40">
      <x:c r="A40" s="71"/>
      <x:c r="B40" s="71"/>
      <x:c r="C40" s="72"/>
      <x:c r="D40" s="72"/>
      <x:c r="E40" s="72"/>
      <x:c r="F40" s="72"/>
      <x:c r="G40" s="72"/>
      <x:c r="H40" s="81" t="str">
        <x:f>IF($E40="","",SUMIFS('Input_OL'!$K$4:$K$200,'Input_OL'!$C$4:$C$200,C40,'Input_OL'!$F$4:$F$200,B40))</x:f>
      </x:c>
      <x:c r="I40" s="81" t="str">
        <x:f>IF($E40="","",SUMIFS('Master_BOM'!$F$4:$F$200,'Master_BOM'!$A$4:$A$200,C40,'Master_BOM'!$C$4:$C$200,E40))</x:f>
      </x:c>
      <x:c r="J40" s="82" t="str">
        <x:f>IF($E40="","",SUMIFS('Master_BOM'!$G$4:$G$200,'Master_BOM'!$A$4:$A$200,C40,'Master_BOM'!$C$4:$C$200,E40))</x:f>
      </x:c>
      <x:c r="K40" s="83" t="str">
        <x:f>IF($E40="","",SUMIFS('Master_BOM'!$H$4:$H$200,'Master_BOM'!$A$4:$A$200,C40,'Master_BOM'!$C$4:$C$200,E40))</x:f>
      </x:c>
      <x:c r="L40" s="75" t="str">
        <x:f>IF($E40="","",IF(K40="Y",H40*I40,H40*I40*J40))</x:f>
      </x:c>
      <x:c r="M40" s="75" t="str">
        <x:f>IF($E40="","",IFERROR(SUMIFS('Master_BOM'!$J$4:$J$200,'Master_BOM'!$C$4:$C$200,E40),0))</x:f>
      </x:c>
      <x:c r="N40" s="75" t="str">
        <x:f>IF($E40="","",L40+M40)</x:f>
      </x:c>
      <x:c r="O40" s="75" t="str">
        <x:f>IF($E40="","",SUMIFS('Input_Inventory'!$G$4:$G$200,'Input_Inventory'!$C$4:$C$200,E40))</x:f>
      </x:c>
      <x:c r="P40" s="75" t="str">
        <x:f>IF($E40="","",SUMIFS('Input_Inventory'!$L$4:$L$200,'Input_Inventory'!$C$4:$C$200,E40,'Input_Inventory'!$F$4:$F$200,B40))</x:f>
      </x:c>
      <x:c r="Q40" s="75" t="str">
        <x:f>IF($E40="","",O40+P40)</x:f>
      </x:c>
      <x:c r="R40" s="75" t="str">
        <x:f>IF($E40="","",MAX(0,N40-Q40))</x:f>
      </x:c>
      <x:c r="S40" s="75" t="str">
        <x:f>IF($E40="","",SUMIFS('Master_Rules'!$G$4:$G$200,'Master_Rules'!$D$4:$D$200,E40))</x:f>
      </x:c>
      <x:c r="T40" s="75" t="str">
        <x:f>IF($E40="","",IF(S40=0,R40,MAX(S40,CEILING(R40,SUMIFS('Master_Rules'!$H$4:$H$200,'Master_Rules'!$D$4:$D$200,E40)))))</x:f>
      </x:c>
      <x:c r="U40" s="75" t="str">
        <x:f>IF($E40="","",T40*SUMIFS('Master_Rules'!$J$4:$J$200,'Master_Rules'!$D$4:$D$200,E40))</x:f>
      </x:c>
      <x:c r="V40" s="83" t="str">
        <x:f>IF($E40="","",IF(T40&gt;R40,"MOQ 조정",IF(K40="Y","필수품 확인","정상")))</x:f>
      </x:c>
    </x:row>
    <x:row r="41">
      <x:c r="A41" s="71"/>
      <x:c r="B41" s="71"/>
      <x:c r="C41" s="72"/>
      <x:c r="D41" s="72"/>
      <x:c r="E41" s="72"/>
      <x:c r="F41" s="72"/>
      <x:c r="G41" s="72"/>
      <x:c r="H41" s="81" t="str">
        <x:f>IF($E41="","",SUMIFS('Input_OL'!$K$4:$K$200,'Input_OL'!$C$4:$C$200,C41,'Input_OL'!$F$4:$F$200,B41))</x:f>
      </x:c>
      <x:c r="I41" s="81" t="str">
        <x:f>IF($E41="","",SUMIFS('Master_BOM'!$F$4:$F$200,'Master_BOM'!$A$4:$A$200,C41,'Master_BOM'!$C$4:$C$200,E41))</x:f>
      </x:c>
      <x:c r="J41" s="82" t="str">
        <x:f>IF($E41="","",SUMIFS('Master_BOM'!$G$4:$G$200,'Master_BOM'!$A$4:$A$200,C41,'Master_BOM'!$C$4:$C$200,E41))</x:f>
      </x:c>
      <x:c r="K41" s="83" t="str">
        <x:f>IF($E41="","",SUMIFS('Master_BOM'!$H$4:$H$200,'Master_BOM'!$A$4:$A$200,C41,'Master_BOM'!$C$4:$C$200,E41))</x:f>
      </x:c>
      <x:c r="L41" s="75" t="str">
        <x:f>IF($E41="","",IF(K41="Y",H41*I41,H41*I41*J41))</x:f>
      </x:c>
      <x:c r="M41" s="75" t="str">
        <x:f>IF($E41="","",IFERROR(SUMIFS('Master_BOM'!$J$4:$J$200,'Master_BOM'!$C$4:$C$200,E41),0))</x:f>
      </x:c>
      <x:c r="N41" s="75" t="str">
        <x:f>IF($E41="","",L41+M41)</x:f>
      </x:c>
      <x:c r="O41" s="75" t="str">
        <x:f>IF($E41="","",SUMIFS('Input_Inventory'!$G$4:$G$200,'Input_Inventory'!$C$4:$C$200,E41))</x:f>
      </x:c>
      <x:c r="P41" s="75" t="str">
        <x:f>IF($E41="","",SUMIFS('Input_Inventory'!$L$4:$L$200,'Input_Inventory'!$C$4:$C$200,E41,'Input_Inventory'!$F$4:$F$200,B41))</x:f>
      </x:c>
      <x:c r="Q41" s="75" t="str">
        <x:f>IF($E41="","",O41+P41)</x:f>
      </x:c>
      <x:c r="R41" s="75" t="str">
        <x:f>IF($E41="","",MAX(0,N41-Q41))</x:f>
      </x:c>
      <x:c r="S41" s="75" t="str">
        <x:f>IF($E41="","",SUMIFS('Master_Rules'!$G$4:$G$200,'Master_Rules'!$D$4:$D$200,E41))</x:f>
      </x:c>
      <x:c r="T41" s="75" t="str">
        <x:f>IF($E41="","",IF(S41=0,R41,MAX(S41,CEILING(R41,SUMIFS('Master_Rules'!$H$4:$H$200,'Master_Rules'!$D$4:$D$200,E41)))))</x:f>
      </x:c>
      <x:c r="U41" s="75" t="str">
        <x:f>IF($E41="","",T41*SUMIFS('Master_Rules'!$J$4:$J$200,'Master_Rules'!$D$4:$D$200,E41))</x:f>
      </x:c>
      <x:c r="V41" s="83" t="str">
        <x:f>IF($E41="","",IF(T41&gt;R41,"MOQ 조정",IF(K41="Y","필수품 확인","정상")))</x:f>
      </x:c>
    </x:row>
    <x:row r="42">
      <x:c r="A42" s="71"/>
      <x:c r="B42" s="71"/>
      <x:c r="C42" s="72"/>
      <x:c r="D42" s="72"/>
      <x:c r="E42" s="72"/>
      <x:c r="F42" s="72"/>
      <x:c r="G42" s="72"/>
      <x:c r="H42" s="81" t="str">
        <x:f>IF($E42="","",SUMIFS('Input_OL'!$K$4:$K$200,'Input_OL'!$C$4:$C$200,C42,'Input_OL'!$F$4:$F$200,B42))</x:f>
      </x:c>
      <x:c r="I42" s="81" t="str">
        <x:f>IF($E42="","",SUMIFS('Master_BOM'!$F$4:$F$200,'Master_BOM'!$A$4:$A$200,C42,'Master_BOM'!$C$4:$C$200,E42))</x:f>
      </x:c>
      <x:c r="J42" s="82" t="str">
        <x:f>IF($E42="","",SUMIFS('Master_BOM'!$G$4:$G$200,'Master_BOM'!$A$4:$A$200,C42,'Master_BOM'!$C$4:$C$200,E42))</x:f>
      </x:c>
      <x:c r="K42" s="83" t="str">
        <x:f>IF($E42="","",SUMIFS('Master_BOM'!$H$4:$H$200,'Master_BOM'!$A$4:$A$200,C42,'Master_BOM'!$C$4:$C$200,E42))</x:f>
      </x:c>
      <x:c r="L42" s="75" t="str">
        <x:f>IF($E42="","",IF(K42="Y",H42*I42,H42*I42*J42))</x:f>
      </x:c>
      <x:c r="M42" s="75" t="str">
        <x:f>IF($E42="","",IFERROR(SUMIFS('Master_BOM'!$J$4:$J$200,'Master_BOM'!$C$4:$C$200,E42),0))</x:f>
      </x:c>
      <x:c r="N42" s="75" t="str">
        <x:f>IF($E42="","",L42+M42)</x:f>
      </x:c>
      <x:c r="O42" s="75" t="str">
        <x:f>IF($E42="","",SUMIFS('Input_Inventory'!$G$4:$G$200,'Input_Inventory'!$C$4:$C$200,E42))</x:f>
      </x:c>
      <x:c r="P42" s="75" t="str">
        <x:f>IF($E42="","",SUMIFS('Input_Inventory'!$L$4:$L$200,'Input_Inventory'!$C$4:$C$200,E42,'Input_Inventory'!$F$4:$F$200,B42))</x:f>
      </x:c>
      <x:c r="Q42" s="75" t="str">
        <x:f>IF($E42="","",O42+P42)</x:f>
      </x:c>
      <x:c r="R42" s="75" t="str">
        <x:f>IF($E42="","",MAX(0,N42-Q42))</x:f>
      </x:c>
      <x:c r="S42" s="75" t="str">
        <x:f>IF($E42="","",SUMIFS('Master_Rules'!$G$4:$G$200,'Master_Rules'!$D$4:$D$200,E42))</x:f>
      </x:c>
      <x:c r="T42" s="75" t="str">
        <x:f>IF($E42="","",IF(S42=0,R42,MAX(S42,CEILING(R42,SUMIFS('Master_Rules'!$H$4:$H$200,'Master_Rules'!$D$4:$D$200,E42)))))</x:f>
      </x:c>
      <x:c r="U42" s="75" t="str">
        <x:f>IF($E42="","",T42*SUMIFS('Master_Rules'!$J$4:$J$200,'Master_Rules'!$D$4:$D$200,E42))</x:f>
      </x:c>
      <x:c r="V42" s="83" t="str">
        <x:f>IF($E42="","",IF(T42&gt;R42,"MOQ 조정",IF(K42="Y","필수품 확인","정상")))</x:f>
      </x:c>
    </x:row>
    <x:row r="43">
      <x:c r="A43" s="71"/>
      <x:c r="B43" s="71"/>
      <x:c r="C43" s="72"/>
      <x:c r="D43" s="72"/>
      <x:c r="E43" s="72"/>
      <x:c r="F43" s="72"/>
      <x:c r="G43" s="72"/>
      <x:c r="H43" s="81" t="str">
        <x:f>IF($E43="","",SUMIFS('Input_OL'!$K$4:$K$200,'Input_OL'!$C$4:$C$200,C43,'Input_OL'!$F$4:$F$200,B43))</x:f>
      </x:c>
      <x:c r="I43" s="81" t="str">
        <x:f>IF($E43="","",SUMIFS('Master_BOM'!$F$4:$F$200,'Master_BOM'!$A$4:$A$200,C43,'Master_BOM'!$C$4:$C$200,E43))</x:f>
      </x:c>
      <x:c r="J43" s="82" t="str">
        <x:f>IF($E43="","",SUMIFS('Master_BOM'!$G$4:$G$200,'Master_BOM'!$A$4:$A$200,C43,'Master_BOM'!$C$4:$C$200,E43))</x:f>
      </x:c>
      <x:c r="K43" s="83" t="str">
        <x:f>IF($E43="","",SUMIFS('Master_BOM'!$H$4:$H$200,'Master_BOM'!$A$4:$A$200,C43,'Master_BOM'!$C$4:$C$200,E43))</x:f>
      </x:c>
      <x:c r="L43" s="75" t="str">
        <x:f>IF($E43="","",IF(K43="Y",H43*I43,H43*I43*J43))</x:f>
      </x:c>
      <x:c r="M43" s="75" t="str">
        <x:f>IF($E43="","",IFERROR(SUMIFS('Master_BOM'!$J$4:$J$200,'Master_BOM'!$C$4:$C$200,E43),0))</x:f>
      </x:c>
      <x:c r="N43" s="75" t="str">
        <x:f>IF($E43="","",L43+M43)</x:f>
      </x:c>
      <x:c r="O43" s="75" t="str">
        <x:f>IF($E43="","",SUMIFS('Input_Inventory'!$G$4:$G$200,'Input_Inventory'!$C$4:$C$200,E43))</x:f>
      </x:c>
      <x:c r="P43" s="75" t="str">
        <x:f>IF($E43="","",SUMIFS('Input_Inventory'!$L$4:$L$200,'Input_Inventory'!$C$4:$C$200,E43,'Input_Inventory'!$F$4:$F$200,B43))</x:f>
      </x:c>
      <x:c r="Q43" s="75" t="str">
        <x:f>IF($E43="","",O43+P43)</x:f>
      </x:c>
      <x:c r="R43" s="75" t="str">
        <x:f>IF($E43="","",MAX(0,N43-Q43))</x:f>
      </x:c>
      <x:c r="S43" s="75" t="str">
        <x:f>IF($E43="","",SUMIFS('Master_Rules'!$G$4:$G$200,'Master_Rules'!$D$4:$D$200,E43))</x:f>
      </x:c>
      <x:c r="T43" s="75" t="str">
        <x:f>IF($E43="","",IF(S43=0,R43,MAX(S43,CEILING(R43,SUMIFS('Master_Rules'!$H$4:$H$200,'Master_Rules'!$D$4:$D$200,E43)))))</x:f>
      </x:c>
      <x:c r="U43" s="75" t="str">
        <x:f>IF($E43="","",T43*SUMIFS('Master_Rules'!$J$4:$J$200,'Master_Rules'!$D$4:$D$200,E43))</x:f>
      </x:c>
      <x:c r="V43" s="83" t="str">
        <x:f>IF($E43="","",IF(T43&gt;R43,"MOQ 조정",IF(K43="Y","필수품 확인","정상")))</x:f>
      </x:c>
    </x:row>
    <x:row r="44">
      <x:c r="A44" s="71"/>
      <x:c r="B44" s="71"/>
      <x:c r="C44" s="72"/>
      <x:c r="D44" s="72"/>
      <x:c r="E44" s="72"/>
      <x:c r="F44" s="72"/>
      <x:c r="G44" s="72"/>
      <x:c r="H44" s="81" t="str">
        <x:f>IF($E44="","",SUMIFS('Input_OL'!$K$4:$K$200,'Input_OL'!$C$4:$C$200,C44,'Input_OL'!$F$4:$F$200,B44))</x:f>
      </x:c>
      <x:c r="I44" s="81" t="str">
        <x:f>IF($E44="","",SUMIFS('Master_BOM'!$F$4:$F$200,'Master_BOM'!$A$4:$A$200,C44,'Master_BOM'!$C$4:$C$200,E44))</x:f>
      </x:c>
      <x:c r="J44" s="82" t="str">
        <x:f>IF($E44="","",SUMIFS('Master_BOM'!$G$4:$G$200,'Master_BOM'!$A$4:$A$200,C44,'Master_BOM'!$C$4:$C$200,E44))</x:f>
      </x:c>
      <x:c r="K44" s="83" t="str">
        <x:f>IF($E44="","",SUMIFS('Master_BOM'!$H$4:$H$200,'Master_BOM'!$A$4:$A$200,C44,'Master_BOM'!$C$4:$C$200,E44))</x:f>
      </x:c>
      <x:c r="L44" s="75" t="str">
        <x:f>IF($E44="","",IF(K44="Y",H44*I44,H44*I44*J44))</x:f>
      </x:c>
      <x:c r="M44" s="75" t="str">
        <x:f>IF($E44="","",IFERROR(SUMIFS('Master_BOM'!$J$4:$J$200,'Master_BOM'!$C$4:$C$200,E44),0))</x:f>
      </x:c>
      <x:c r="N44" s="75" t="str">
        <x:f>IF($E44="","",L44+M44)</x:f>
      </x:c>
      <x:c r="O44" s="75" t="str">
        <x:f>IF($E44="","",SUMIFS('Input_Inventory'!$G$4:$G$200,'Input_Inventory'!$C$4:$C$200,E44))</x:f>
      </x:c>
      <x:c r="P44" s="75" t="str">
        <x:f>IF($E44="","",SUMIFS('Input_Inventory'!$L$4:$L$200,'Input_Inventory'!$C$4:$C$200,E44,'Input_Inventory'!$F$4:$F$200,B44))</x:f>
      </x:c>
      <x:c r="Q44" s="75" t="str">
        <x:f>IF($E44="","",O44+P44)</x:f>
      </x:c>
      <x:c r="R44" s="75" t="str">
        <x:f>IF($E44="","",MAX(0,N44-Q44))</x:f>
      </x:c>
      <x:c r="S44" s="75" t="str">
        <x:f>IF($E44="","",SUMIFS('Master_Rules'!$G$4:$G$200,'Master_Rules'!$D$4:$D$200,E44))</x:f>
      </x:c>
      <x:c r="T44" s="75" t="str">
        <x:f>IF($E44="","",IF(S44=0,R44,MAX(S44,CEILING(R44,SUMIFS('Master_Rules'!$H$4:$H$200,'Master_Rules'!$D$4:$D$200,E44)))))</x:f>
      </x:c>
      <x:c r="U44" s="75" t="str">
        <x:f>IF($E44="","",T44*SUMIFS('Master_Rules'!$J$4:$J$200,'Master_Rules'!$D$4:$D$200,E44))</x:f>
      </x:c>
      <x:c r="V44" s="83" t="str">
        <x:f>IF($E44="","",IF(T44&gt;R44,"MOQ 조정",IF(K44="Y","필수품 확인","정상")))</x:f>
      </x:c>
    </x:row>
    <x:row r="45">
      <x:c r="A45" s="71"/>
      <x:c r="B45" s="71"/>
      <x:c r="C45" s="72"/>
      <x:c r="D45" s="72"/>
      <x:c r="E45" s="72"/>
      <x:c r="F45" s="72"/>
      <x:c r="G45" s="72"/>
      <x:c r="H45" s="81" t="str">
        <x:f>IF($E45="","",SUMIFS('Input_OL'!$K$4:$K$200,'Input_OL'!$C$4:$C$200,C45,'Input_OL'!$F$4:$F$200,B45))</x:f>
      </x:c>
      <x:c r="I45" s="81" t="str">
        <x:f>IF($E45="","",SUMIFS('Master_BOM'!$F$4:$F$200,'Master_BOM'!$A$4:$A$200,C45,'Master_BOM'!$C$4:$C$200,E45))</x:f>
      </x:c>
      <x:c r="J45" s="82" t="str">
        <x:f>IF($E45="","",SUMIFS('Master_BOM'!$G$4:$G$200,'Master_BOM'!$A$4:$A$200,C45,'Master_BOM'!$C$4:$C$200,E45))</x:f>
      </x:c>
      <x:c r="K45" s="83" t="str">
        <x:f>IF($E45="","",SUMIFS('Master_BOM'!$H$4:$H$200,'Master_BOM'!$A$4:$A$200,C45,'Master_BOM'!$C$4:$C$200,E45))</x:f>
      </x:c>
      <x:c r="L45" s="75" t="str">
        <x:f>IF($E45="","",IF(K45="Y",H45*I45,H45*I45*J45))</x:f>
      </x:c>
      <x:c r="M45" s="75" t="str">
        <x:f>IF($E45="","",IFERROR(SUMIFS('Master_BOM'!$J$4:$J$200,'Master_BOM'!$C$4:$C$200,E45),0))</x:f>
      </x:c>
      <x:c r="N45" s="75" t="str">
        <x:f>IF($E45="","",L45+M45)</x:f>
      </x:c>
      <x:c r="O45" s="75" t="str">
        <x:f>IF($E45="","",SUMIFS('Input_Inventory'!$G$4:$G$200,'Input_Inventory'!$C$4:$C$200,E45))</x:f>
      </x:c>
      <x:c r="P45" s="75" t="str">
        <x:f>IF($E45="","",SUMIFS('Input_Inventory'!$L$4:$L$200,'Input_Inventory'!$C$4:$C$200,E45,'Input_Inventory'!$F$4:$F$200,B45))</x:f>
      </x:c>
      <x:c r="Q45" s="75" t="str">
        <x:f>IF($E45="","",O45+P45)</x:f>
      </x:c>
      <x:c r="R45" s="75" t="str">
        <x:f>IF($E45="","",MAX(0,N45-Q45))</x:f>
      </x:c>
      <x:c r="S45" s="75" t="str">
        <x:f>IF($E45="","",SUMIFS('Master_Rules'!$G$4:$G$200,'Master_Rules'!$D$4:$D$200,E45))</x:f>
      </x:c>
      <x:c r="T45" s="75" t="str">
        <x:f>IF($E45="","",IF(S45=0,R45,MAX(S45,CEILING(R45,SUMIFS('Master_Rules'!$H$4:$H$200,'Master_Rules'!$D$4:$D$200,E45)))))</x:f>
      </x:c>
      <x:c r="U45" s="75" t="str">
        <x:f>IF($E45="","",T45*SUMIFS('Master_Rules'!$J$4:$J$200,'Master_Rules'!$D$4:$D$200,E45))</x:f>
      </x:c>
      <x:c r="V45" s="83" t="str">
        <x:f>IF($E45="","",IF(T45&gt;R45,"MOQ 조정",IF(K45="Y","필수품 확인","정상")))</x:f>
      </x:c>
    </x:row>
    <x:row r="46">
      <x:c r="A46" s="71"/>
      <x:c r="B46" s="71"/>
      <x:c r="C46" s="72"/>
      <x:c r="D46" s="72"/>
      <x:c r="E46" s="72"/>
      <x:c r="F46" s="72"/>
      <x:c r="G46" s="72"/>
      <x:c r="H46" s="81" t="str">
        <x:f>IF($E46="","",SUMIFS('Input_OL'!$K$4:$K$200,'Input_OL'!$C$4:$C$200,C46,'Input_OL'!$F$4:$F$200,B46))</x:f>
      </x:c>
      <x:c r="I46" s="81" t="str">
        <x:f>IF($E46="","",SUMIFS('Master_BOM'!$F$4:$F$200,'Master_BOM'!$A$4:$A$200,C46,'Master_BOM'!$C$4:$C$200,E46))</x:f>
      </x:c>
      <x:c r="J46" s="82" t="str">
        <x:f>IF($E46="","",SUMIFS('Master_BOM'!$G$4:$G$200,'Master_BOM'!$A$4:$A$200,C46,'Master_BOM'!$C$4:$C$200,E46))</x:f>
      </x:c>
      <x:c r="K46" s="83" t="str">
        <x:f>IF($E46="","",SUMIFS('Master_BOM'!$H$4:$H$200,'Master_BOM'!$A$4:$A$200,C46,'Master_BOM'!$C$4:$C$200,E46))</x:f>
      </x:c>
      <x:c r="L46" s="75" t="str">
        <x:f>IF($E46="","",IF(K46="Y",H46*I46,H46*I46*J46))</x:f>
      </x:c>
      <x:c r="M46" s="75" t="str">
        <x:f>IF($E46="","",IFERROR(SUMIFS('Master_BOM'!$J$4:$J$200,'Master_BOM'!$C$4:$C$200,E46),0))</x:f>
      </x:c>
      <x:c r="N46" s="75" t="str">
        <x:f>IF($E46="","",L46+M46)</x:f>
      </x:c>
      <x:c r="O46" s="75" t="str">
        <x:f>IF($E46="","",SUMIFS('Input_Inventory'!$G$4:$G$200,'Input_Inventory'!$C$4:$C$200,E46))</x:f>
      </x:c>
      <x:c r="P46" s="75" t="str">
        <x:f>IF($E46="","",SUMIFS('Input_Inventory'!$L$4:$L$200,'Input_Inventory'!$C$4:$C$200,E46,'Input_Inventory'!$F$4:$F$200,B46))</x:f>
      </x:c>
      <x:c r="Q46" s="75" t="str">
        <x:f>IF($E46="","",O46+P46)</x:f>
      </x:c>
      <x:c r="R46" s="75" t="str">
        <x:f>IF($E46="","",MAX(0,N46-Q46))</x:f>
      </x:c>
      <x:c r="S46" s="75" t="str">
        <x:f>IF($E46="","",SUMIFS('Master_Rules'!$G$4:$G$200,'Master_Rules'!$D$4:$D$200,E46))</x:f>
      </x:c>
      <x:c r="T46" s="75" t="str">
        <x:f>IF($E46="","",IF(S46=0,R46,MAX(S46,CEILING(R46,SUMIFS('Master_Rules'!$H$4:$H$200,'Master_Rules'!$D$4:$D$200,E46)))))</x:f>
      </x:c>
      <x:c r="U46" s="75" t="str">
        <x:f>IF($E46="","",T46*SUMIFS('Master_Rules'!$J$4:$J$200,'Master_Rules'!$D$4:$D$200,E46))</x:f>
      </x:c>
      <x:c r="V46" s="83" t="str">
        <x:f>IF($E46="","",IF(T46&gt;R46,"MOQ 조정",IF(K46="Y","필수품 확인","정상")))</x:f>
      </x:c>
    </x:row>
    <x:row r="47">
      <x:c r="A47" s="71"/>
      <x:c r="B47" s="71"/>
      <x:c r="C47" s="72"/>
      <x:c r="D47" s="72"/>
      <x:c r="E47" s="72"/>
      <x:c r="F47" s="72"/>
      <x:c r="G47" s="72"/>
      <x:c r="H47" s="81" t="str">
        <x:f>IF($E47="","",SUMIFS('Input_OL'!$K$4:$K$200,'Input_OL'!$C$4:$C$200,C47,'Input_OL'!$F$4:$F$200,B47))</x:f>
      </x:c>
      <x:c r="I47" s="81" t="str">
        <x:f>IF($E47="","",SUMIFS('Master_BOM'!$F$4:$F$200,'Master_BOM'!$A$4:$A$200,C47,'Master_BOM'!$C$4:$C$200,E47))</x:f>
      </x:c>
      <x:c r="J47" s="82" t="str">
        <x:f>IF($E47="","",SUMIFS('Master_BOM'!$G$4:$G$200,'Master_BOM'!$A$4:$A$200,C47,'Master_BOM'!$C$4:$C$200,E47))</x:f>
      </x:c>
      <x:c r="K47" s="83" t="str">
        <x:f>IF($E47="","",SUMIFS('Master_BOM'!$H$4:$H$200,'Master_BOM'!$A$4:$A$200,C47,'Master_BOM'!$C$4:$C$200,E47))</x:f>
      </x:c>
      <x:c r="L47" s="75" t="str">
        <x:f>IF($E47="","",IF(K47="Y",H47*I47,H47*I47*J47))</x:f>
      </x:c>
      <x:c r="M47" s="75" t="str">
        <x:f>IF($E47="","",IFERROR(SUMIFS('Master_BOM'!$J$4:$J$200,'Master_BOM'!$C$4:$C$200,E47),0))</x:f>
      </x:c>
      <x:c r="N47" s="75" t="str">
        <x:f>IF($E47="","",L47+M47)</x:f>
      </x:c>
      <x:c r="O47" s="75" t="str">
        <x:f>IF($E47="","",SUMIFS('Input_Inventory'!$G$4:$G$200,'Input_Inventory'!$C$4:$C$200,E47))</x:f>
      </x:c>
      <x:c r="P47" s="75" t="str">
        <x:f>IF($E47="","",SUMIFS('Input_Inventory'!$L$4:$L$200,'Input_Inventory'!$C$4:$C$200,E47,'Input_Inventory'!$F$4:$F$200,B47))</x:f>
      </x:c>
      <x:c r="Q47" s="75" t="str">
        <x:f>IF($E47="","",O47+P47)</x:f>
      </x:c>
      <x:c r="R47" s="75" t="str">
        <x:f>IF($E47="","",MAX(0,N47-Q47))</x:f>
      </x:c>
      <x:c r="S47" s="75" t="str">
        <x:f>IF($E47="","",SUMIFS('Master_Rules'!$G$4:$G$200,'Master_Rules'!$D$4:$D$200,E47))</x:f>
      </x:c>
      <x:c r="T47" s="75" t="str">
        <x:f>IF($E47="","",IF(S47=0,R47,MAX(S47,CEILING(R47,SUMIFS('Master_Rules'!$H$4:$H$200,'Master_Rules'!$D$4:$D$200,E47)))))</x:f>
      </x:c>
      <x:c r="U47" s="75" t="str">
        <x:f>IF($E47="","",T47*SUMIFS('Master_Rules'!$J$4:$J$200,'Master_Rules'!$D$4:$D$200,E47))</x:f>
      </x:c>
      <x:c r="V47" s="83" t="str">
        <x:f>IF($E47="","",IF(T47&gt;R47,"MOQ 조정",IF(K47="Y","필수품 확인","정상")))</x:f>
      </x:c>
    </x:row>
    <x:row r="48">
      <x:c r="A48" s="71"/>
      <x:c r="B48" s="71"/>
      <x:c r="C48" s="72"/>
      <x:c r="D48" s="72"/>
      <x:c r="E48" s="72"/>
      <x:c r="F48" s="72"/>
      <x:c r="G48" s="72"/>
      <x:c r="H48" s="81" t="str">
        <x:f>IF($E48="","",SUMIFS('Input_OL'!$K$4:$K$200,'Input_OL'!$C$4:$C$200,C48,'Input_OL'!$F$4:$F$200,B48))</x:f>
      </x:c>
      <x:c r="I48" s="81" t="str">
        <x:f>IF($E48="","",SUMIFS('Master_BOM'!$F$4:$F$200,'Master_BOM'!$A$4:$A$200,C48,'Master_BOM'!$C$4:$C$200,E48))</x:f>
      </x:c>
      <x:c r="J48" s="82" t="str">
        <x:f>IF($E48="","",SUMIFS('Master_BOM'!$G$4:$G$200,'Master_BOM'!$A$4:$A$200,C48,'Master_BOM'!$C$4:$C$200,E48))</x:f>
      </x:c>
      <x:c r="K48" s="83" t="str">
        <x:f>IF($E48="","",SUMIFS('Master_BOM'!$H$4:$H$200,'Master_BOM'!$A$4:$A$200,C48,'Master_BOM'!$C$4:$C$200,E48))</x:f>
      </x:c>
      <x:c r="L48" s="75" t="str">
        <x:f>IF($E48="","",IF(K48="Y",H48*I48,H48*I48*J48))</x:f>
      </x:c>
      <x:c r="M48" s="75" t="str">
        <x:f>IF($E48="","",IFERROR(SUMIFS('Master_BOM'!$J$4:$J$200,'Master_BOM'!$C$4:$C$200,E48),0))</x:f>
      </x:c>
      <x:c r="N48" s="75" t="str">
        <x:f>IF($E48="","",L48+M48)</x:f>
      </x:c>
      <x:c r="O48" s="75" t="str">
        <x:f>IF($E48="","",SUMIFS('Input_Inventory'!$G$4:$G$200,'Input_Inventory'!$C$4:$C$200,E48))</x:f>
      </x:c>
      <x:c r="P48" s="75" t="str">
        <x:f>IF($E48="","",SUMIFS('Input_Inventory'!$L$4:$L$200,'Input_Inventory'!$C$4:$C$200,E48,'Input_Inventory'!$F$4:$F$200,B48))</x:f>
      </x:c>
      <x:c r="Q48" s="75" t="str">
        <x:f>IF($E48="","",O48+P48)</x:f>
      </x:c>
      <x:c r="R48" s="75" t="str">
        <x:f>IF($E48="","",MAX(0,N48-Q48))</x:f>
      </x:c>
      <x:c r="S48" s="75" t="str">
        <x:f>IF($E48="","",SUMIFS('Master_Rules'!$G$4:$G$200,'Master_Rules'!$D$4:$D$200,E48))</x:f>
      </x:c>
      <x:c r="T48" s="75" t="str">
        <x:f>IF($E48="","",IF(S48=0,R48,MAX(S48,CEILING(R48,SUMIFS('Master_Rules'!$H$4:$H$200,'Master_Rules'!$D$4:$D$200,E48)))))</x:f>
      </x:c>
      <x:c r="U48" s="75" t="str">
        <x:f>IF($E48="","",T48*SUMIFS('Master_Rules'!$J$4:$J$200,'Master_Rules'!$D$4:$D$200,E48))</x:f>
      </x:c>
      <x:c r="V48" s="83" t="str">
        <x:f>IF($E48="","",IF(T48&gt;R48,"MOQ 조정",IF(K48="Y","필수품 확인","정상")))</x:f>
      </x:c>
    </x:row>
    <x:row r="49">
      <x:c r="A49" s="71"/>
      <x:c r="B49" s="71"/>
      <x:c r="C49" s="72"/>
      <x:c r="D49" s="72"/>
      <x:c r="E49" s="72"/>
      <x:c r="F49" s="72"/>
      <x:c r="G49" s="72"/>
      <x:c r="H49" s="81" t="str">
        <x:f>IF($E49="","",SUMIFS('Input_OL'!$K$4:$K$200,'Input_OL'!$C$4:$C$200,C49,'Input_OL'!$F$4:$F$200,B49))</x:f>
      </x:c>
      <x:c r="I49" s="81" t="str">
        <x:f>IF($E49="","",SUMIFS('Master_BOM'!$F$4:$F$200,'Master_BOM'!$A$4:$A$200,C49,'Master_BOM'!$C$4:$C$200,E49))</x:f>
      </x:c>
      <x:c r="J49" s="82" t="str">
        <x:f>IF($E49="","",SUMIFS('Master_BOM'!$G$4:$G$200,'Master_BOM'!$A$4:$A$200,C49,'Master_BOM'!$C$4:$C$200,E49))</x:f>
      </x:c>
      <x:c r="K49" s="83" t="str">
        <x:f>IF($E49="","",SUMIFS('Master_BOM'!$H$4:$H$200,'Master_BOM'!$A$4:$A$200,C49,'Master_BOM'!$C$4:$C$200,E49))</x:f>
      </x:c>
      <x:c r="L49" s="75" t="str">
        <x:f>IF($E49="","",IF(K49="Y",H49*I49,H49*I49*J49))</x:f>
      </x:c>
      <x:c r="M49" s="75" t="str">
        <x:f>IF($E49="","",IFERROR(SUMIFS('Master_BOM'!$J$4:$J$200,'Master_BOM'!$C$4:$C$200,E49),0))</x:f>
      </x:c>
      <x:c r="N49" s="75" t="str">
        <x:f>IF($E49="","",L49+M49)</x:f>
      </x:c>
      <x:c r="O49" s="75" t="str">
        <x:f>IF($E49="","",SUMIFS('Input_Inventory'!$G$4:$G$200,'Input_Inventory'!$C$4:$C$200,E49))</x:f>
      </x:c>
      <x:c r="P49" s="75" t="str">
        <x:f>IF($E49="","",SUMIFS('Input_Inventory'!$L$4:$L$200,'Input_Inventory'!$C$4:$C$200,E49,'Input_Inventory'!$F$4:$F$200,B49))</x:f>
      </x:c>
      <x:c r="Q49" s="75" t="str">
        <x:f>IF($E49="","",O49+P49)</x:f>
      </x:c>
      <x:c r="R49" s="75" t="str">
        <x:f>IF($E49="","",MAX(0,N49-Q49))</x:f>
      </x:c>
      <x:c r="S49" s="75" t="str">
        <x:f>IF($E49="","",SUMIFS('Master_Rules'!$G$4:$G$200,'Master_Rules'!$D$4:$D$200,E49))</x:f>
      </x:c>
      <x:c r="T49" s="75" t="str">
        <x:f>IF($E49="","",IF(S49=0,R49,MAX(S49,CEILING(R49,SUMIFS('Master_Rules'!$H$4:$H$200,'Master_Rules'!$D$4:$D$200,E49)))))</x:f>
      </x:c>
      <x:c r="U49" s="75" t="str">
        <x:f>IF($E49="","",T49*SUMIFS('Master_Rules'!$J$4:$J$200,'Master_Rules'!$D$4:$D$200,E49))</x:f>
      </x:c>
      <x:c r="V49" s="83" t="str">
        <x:f>IF($E49="","",IF(T49&gt;R49,"MOQ 조정",IF(K49="Y","필수품 확인","정상")))</x:f>
      </x:c>
    </x:row>
    <x:row r="50">
      <x:c r="A50" s="71"/>
      <x:c r="B50" s="71"/>
      <x:c r="C50" s="72"/>
      <x:c r="D50" s="72"/>
      <x:c r="E50" s="72"/>
      <x:c r="F50" s="72"/>
      <x:c r="G50" s="72"/>
      <x:c r="H50" s="81" t="str">
        <x:f>IF($E50="","",SUMIFS('Input_OL'!$K$4:$K$200,'Input_OL'!$C$4:$C$200,C50,'Input_OL'!$F$4:$F$200,B50))</x:f>
      </x:c>
      <x:c r="I50" s="81" t="str">
        <x:f>IF($E50="","",SUMIFS('Master_BOM'!$F$4:$F$200,'Master_BOM'!$A$4:$A$200,C50,'Master_BOM'!$C$4:$C$200,E50))</x:f>
      </x:c>
      <x:c r="J50" s="82" t="str">
        <x:f>IF($E50="","",SUMIFS('Master_BOM'!$G$4:$G$200,'Master_BOM'!$A$4:$A$200,C50,'Master_BOM'!$C$4:$C$200,E50))</x:f>
      </x:c>
      <x:c r="K50" s="83" t="str">
        <x:f>IF($E50="","",SUMIFS('Master_BOM'!$H$4:$H$200,'Master_BOM'!$A$4:$A$200,C50,'Master_BOM'!$C$4:$C$200,E50))</x:f>
      </x:c>
      <x:c r="L50" s="75" t="str">
        <x:f>IF($E50="","",IF(K50="Y",H50*I50,H50*I50*J50))</x:f>
      </x:c>
      <x:c r="M50" s="75" t="str">
        <x:f>IF($E50="","",IFERROR(SUMIFS('Master_BOM'!$J$4:$J$200,'Master_BOM'!$C$4:$C$200,E50),0))</x:f>
      </x:c>
      <x:c r="N50" s="75" t="str">
        <x:f>IF($E50="","",L50+M50)</x:f>
      </x:c>
      <x:c r="O50" s="75" t="str">
        <x:f>IF($E50="","",SUMIFS('Input_Inventory'!$G$4:$G$200,'Input_Inventory'!$C$4:$C$200,E50))</x:f>
      </x:c>
      <x:c r="P50" s="75" t="str">
        <x:f>IF($E50="","",SUMIFS('Input_Inventory'!$L$4:$L$200,'Input_Inventory'!$C$4:$C$200,E50,'Input_Inventory'!$F$4:$F$200,B50))</x:f>
      </x:c>
      <x:c r="Q50" s="75" t="str">
        <x:f>IF($E50="","",O50+P50)</x:f>
      </x:c>
      <x:c r="R50" s="75" t="str">
        <x:f>IF($E50="","",MAX(0,N50-Q50))</x:f>
      </x:c>
      <x:c r="S50" s="75" t="str">
        <x:f>IF($E50="","",SUMIFS('Master_Rules'!$G$4:$G$200,'Master_Rules'!$D$4:$D$200,E50))</x:f>
      </x:c>
      <x:c r="T50" s="75" t="str">
        <x:f>IF($E50="","",IF(S50=0,R50,MAX(S50,CEILING(R50,SUMIFS('Master_Rules'!$H$4:$H$200,'Master_Rules'!$D$4:$D$200,E50)))))</x:f>
      </x:c>
      <x:c r="U50" s="75" t="str">
        <x:f>IF($E50="","",T50*SUMIFS('Master_Rules'!$J$4:$J$200,'Master_Rules'!$D$4:$D$200,E50))</x:f>
      </x:c>
      <x:c r="V50" s="83" t="str">
        <x:f>IF($E50="","",IF(T50&gt;R50,"MOQ 조정",IF(K50="Y","필수품 확인","정상")))</x:f>
      </x:c>
    </x:row>
    <x:row r="51">
      <x:c r="A51" s="71"/>
      <x:c r="B51" s="71"/>
      <x:c r="C51" s="72"/>
      <x:c r="D51" s="72"/>
      <x:c r="E51" s="72"/>
      <x:c r="F51" s="72"/>
      <x:c r="G51" s="72"/>
      <x:c r="H51" s="81" t="str">
        <x:f>IF($E51="","",SUMIFS('Input_OL'!$K$4:$K$200,'Input_OL'!$C$4:$C$200,C51,'Input_OL'!$F$4:$F$200,B51))</x:f>
      </x:c>
      <x:c r="I51" s="81" t="str">
        <x:f>IF($E51="","",SUMIFS('Master_BOM'!$F$4:$F$200,'Master_BOM'!$A$4:$A$200,C51,'Master_BOM'!$C$4:$C$200,E51))</x:f>
      </x:c>
      <x:c r="J51" s="82" t="str">
        <x:f>IF($E51="","",SUMIFS('Master_BOM'!$G$4:$G$200,'Master_BOM'!$A$4:$A$200,C51,'Master_BOM'!$C$4:$C$200,E51))</x:f>
      </x:c>
      <x:c r="K51" s="83" t="str">
        <x:f>IF($E51="","",SUMIFS('Master_BOM'!$H$4:$H$200,'Master_BOM'!$A$4:$A$200,C51,'Master_BOM'!$C$4:$C$200,E51))</x:f>
      </x:c>
      <x:c r="L51" s="75" t="str">
        <x:f>IF($E51="","",IF(K51="Y",H51*I51,H51*I51*J51))</x:f>
      </x:c>
      <x:c r="M51" s="75" t="str">
        <x:f>IF($E51="","",IFERROR(SUMIFS('Master_BOM'!$J$4:$J$200,'Master_BOM'!$C$4:$C$200,E51),0))</x:f>
      </x:c>
      <x:c r="N51" s="75" t="str">
        <x:f>IF($E51="","",L51+M51)</x:f>
      </x:c>
      <x:c r="O51" s="75" t="str">
        <x:f>IF($E51="","",SUMIFS('Input_Inventory'!$G$4:$G$200,'Input_Inventory'!$C$4:$C$200,E51))</x:f>
      </x:c>
      <x:c r="P51" s="75" t="str">
        <x:f>IF($E51="","",SUMIFS('Input_Inventory'!$L$4:$L$200,'Input_Inventory'!$C$4:$C$200,E51,'Input_Inventory'!$F$4:$F$200,B51))</x:f>
      </x:c>
      <x:c r="Q51" s="75" t="str">
        <x:f>IF($E51="","",O51+P51)</x:f>
      </x:c>
      <x:c r="R51" s="75" t="str">
        <x:f>IF($E51="","",MAX(0,N51-Q51))</x:f>
      </x:c>
      <x:c r="S51" s="75" t="str">
        <x:f>IF($E51="","",SUMIFS('Master_Rules'!$G$4:$G$200,'Master_Rules'!$D$4:$D$200,E51))</x:f>
      </x:c>
      <x:c r="T51" s="75" t="str">
        <x:f>IF($E51="","",IF(S51=0,R51,MAX(S51,CEILING(R51,SUMIFS('Master_Rules'!$H$4:$H$200,'Master_Rules'!$D$4:$D$200,E51)))))</x:f>
      </x:c>
      <x:c r="U51" s="75" t="str">
        <x:f>IF($E51="","",T51*SUMIFS('Master_Rules'!$J$4:$J$200,'Master_Rules'!$D$4:$D$200,E51))</x:f>
      </x:c>
      <x:c r="V51" s="83" t="str">
        <x:f>IF($E51="","",IF(T51&gt;R51,"MOQ 조정",IF(K51="Y","필수품 확인","정상")))</x:f>
      </x:c>
    </x:row>
    <x:row r="52">
      <x:c r="A52" s="71"/>
      <x:c r="B52" s="71"/>
      <x:c r="C52" s="72"/>
      <x:c r="D52" s="72"/>
      <x:c r="E52" s="72"/>
      <x:c r="F52" s="72"/>
      <x:c r="G52" s="72"/>
      <x:c r="H52" s="81" t="str">
        <x:f>IF($E52="","",SUMIFS('Input_OL'!$K$4:$K$200,'Input_OL'!$C$4:$C$200,C52,'Input_OL'!$F$4:$F$200,B52))</x:f>
      </x:c>
      <x:c r="I52" s="81" t="str">
        <x:f>IF($E52="","",SUMIFS('Master_BOM'!$F$4:$F$200,'Master_BOM'!$A$4:$A$200,C52,'Master_BOM'!$C$4:$C$200,E52))</x:f>
      </x:c>
      <x:c r="J52" s="82" t="str">
        <x:f>IF($E52="","",SUMIFS('Master_BOM'!$G$4:$G$200,'Master_BOM'!$A$4:$A$200,C52,'Master_BOM'!$C$4:$C$200,E52))</x:f>
      </x:c>
      <x:c r="K52" s="83" t="str">
        <x:f>IF($E52="","",SUMIFS('Master_BOM'!$H$4:$H$200,'Master_BOM'!$A$4:$A$200,C52,'Master_BOM'!$C$4:$C$200,E52))</x:f>
      </x:c>
      <x:c r="L52" s="75" t="str">
        <x:f>IF($E52="","",IF(K52="Y",H52*I52,H52*I52*J52))</x:f>
      </x:c>
      <x:c r="M52" s="75" t="str">
        <x:f>IF($E52="","",IFERROR(SUMIFS('Master_BOM'!$J$4:$J$200,'Master_BOM'!$C$4:$C$200,E52),0))</x:f>
      </x:c>
      <x:c r="N52" s="75" t="str">
        <x:f>IF($E52="","",L52+M52)</x:f>
      </x:c>
      <x:c r="O52" s="75" t="str">
        <x:f>IF($E52="","",SUMIFS('Input_Inventory'!$G$4:$G$200,'Input_Inventory'!$C$4:$C$200,E52))</x:f>
      </x:c>
      <x:c r="P52" s="75" t="str">
        <x:f>IF($E52="","",SUMIFS('Input_Inventory'!$L$4:$L$200,'Input_Inventory'!$C$4:$C$200,E52,'Input_Inventory'!$F$4:$F$200,B52))</x:f>
      </x:c>
      <x:c r="Q52" s="75" t="str">
        <x:f>IF($E52="","",O52+P52)</x:f>
      </x:c>
      <x:c r="R52" s="75" t="str">
        <x:f>IF($E52="","",MAX(0,N52-Q52))</x:f>
      </x:c>
      <x:c r="S52" s="75" t="str">
        <x:f>IF($E52="","",SUMIFS('Master_Rules'!$G$4:$G$200,'Master_Rules'!$D$4:$D$200,E52))</x:f>
      </x:c>
      <x:c r="T52" s="75" t="str">
        <x:f>IF($E52="","",IF(S52=0,R52,MAX(S52,CEILING(R52,SUMIFS('Master_Rules'!$H$4:$H$200,'Master_Rules'!$D$4:$D$200,E52)))))</x:f>
      </x:c>
      <x:c r="U52" s="75" t="str">
        <x:f>IF($E52="","",T52*SUMIFS('Master_Rules'!$J$4:$J$200,'Master_Rules'!$D$4:$D$200,E52))</x:f>
      </x:c>
      <x:c r="V52" s="83" t="str">
        <x:f>IF($E52="","",IF(T52&gt;R52,"MOQ 조정",IF(K52="Y","필수품 확인","정상")))</x:f>
      </x:c>
    </x:row>
    <x:row r="53">
      <x:c r="A53" s="71"/>
      <x:c r="B53" s="71"/>
      <x:c r="C53" s="72"/>
      <x:c r="D53" s="72"/>
      <x:c r="E53" s="72"/>
      <x:c r="F53" s="72"/>
      <x:c r="G53" s="72"/>
      <x:c r="H53" s="81" t="str">
        <x:f>IF($E53="","",SUMIFS('Input_OL'!$K$4:$K$200,'Input_OL'!$C$4:$C$200,C53,'Input_OL'!$F$4:$F$200,B53))</x:f>
      </x:c>
      <x:c r="I53" s="81" t="str">
        <x:f>IF($E53="","",SUMIFS('Master_BOM'!$F$4:$F$200,'Master_BOM'!$A$4:$A$200,C53,'Master_BOM'!$C$4:$C$200,E53))</x:f>
      </x:c>
      <x:c r="J53" s="82" t="str">
        <x:f>IF($E53="","",SUMIFS('Master_BOM'!$G$4:$G$200,'Master_BOM'!$A$4:$A$200,C53,'Master_BOM'!$C$4:$C$200,E53))</x:f>
      </x:c>
      <x:c r="K53" s="83" t="str">
        <x:f>IF($E53="","",SUMIFS('Master_BOM'!$H$4:$H$200,'Master_BOM'!$A$4:$A$200,C53,'Master_BOM'!$C$4:$C$200,E53))</x:f>
      </x:c>
      <x:c r="L53" s="75" t="str">
        <x:f>IF($E53="","",IF(K53="Y",H53*I53,H53*I53*J53))</x:f>
      </x:c>
      <x:c r="M53" s="75" t="str">
        <x:f>IF($E53="","",IFERROR(SUMIFS('Master_BOM'!$J$4:$J$200,'Master_BOM'!$C$4:$C$200,E53),0))</x:f>
      </x:c>
      <x:c r="N53" s="75" t="str">
        <x:f>IF($E53="","",L53+M53)</x:f>
      </x:c>
      <x:c r="O53" s="75" t="str">
        <x:f>IF($E53="","",SUMIFS('Input_Inventory'!$G$4:$G$200,'Input_Inventory'!$C$4:$C$200,E53))</x:f>
      </x:c>
      <x:c r="P53" s="75" t="str">
        <x:f>IF($E53="","",SUMIFS('Input_Inventory'!$L$4:$L$200,'Input_Inventory'!$C$4:$C$200,E53,'Input_Inventory'!$F$4:$F$200,B53))</x:f>
      </x:c>
      <x:c r="Q53" s="75" t="str">
        <x:f>IF($E53="","",O53+P53)</x:f>
      </x:c>
      <x:c r="R53" s="75" t="str">
        <x:f>IF($E53="","",MAX(0,N53-Q53))</x:f>
      </x:c>
      <x:c r="S53" s="75" t="str">
        <x:f>IF($E53="","",SUMIFS('Master_Rules'!$G$4:$G$200,'Master_Rules'!$D$4:$D$200,E53))</x:f>
      </x:c>
      <x:c r="T53" s="75" t="str">
        <x:f>IF($E53="","",IF(S53=0,R53,MAX(S53,CEILING(R53,SUMIFS('Master_Rules'!$H$4:$H$200,'Master_Rules'!$D$4:$D$200,E53)))))</x:f>
      </x:c>
      <x:c r="U53" s="75" t="str">
        <x:f>IF($E53="","",T53*SUMIFS('Master_Rules'!$J$4:$J$200,'Master_Rules'!$D$4:$D$200,E53))</x:f>
      </x:c>
      <x:c r="V53" s="83" t="str">
        <x:f>IF($E53="","",IF(T53&gt;R53,"MOQ 조정",IF(K53="Y","필수품 확인","정상")))</x:f>
      </x:c>
    </x:row>
    <x:row r="54">
      <x:c r="A54" s="71"/>
      <x:c r="B54" s="71"/>
      <x:c r="C54" s="72"/>
      <x:c r="D54" s="72"/>
      <x:c r="E54" s="72"/>
      <x:c r="F54" s="72"/>
      <x:c r="G54" s="72"/>
      <x:c r="H54" s="81" t="str">
        <x:f>IF($E54="","",SUMIFS('Input_OL'!$K$4:$K$200,'Input_OL'!$C$4:$C$200,C54,'Input_OL'!$F$4:$F$200,B54))</x:f>
      </x:c>
      <x:c r="I54" s="81" t="str">
        <x:f>IF($E54="","",SUMIFS('Master_BOM'!$F$4:$F$200,'Master_BOM'!$A$4:$A$200,C54,'Master_BOM'!$C$4:$C$200,E54))</x:f>
      </x:c>
      <x:c r="J54" s="82" t="str">
        <x:f>IF($E54="","",SUMIFS('Master_BOM'!$G$4:$G$200,'Master_BOM'!$A$4:$A$200,C54,'Master_BOM'!$C$4:$C$200,E54))</x:f>
      </x:c>
      <x:c r="K54" s="83" t="str">
        <x:f>IF($E54="","",SUMIFS('Master_BOM'!$H$4:$H$200,'Master_BOM'!$A$4:$A$200,C54,'Master_BOM'!$C$4:$C$200,E54))</x:f>
      </x:c>
      <x:c r="L54" s="75" t="str">
        <x:f>IF($E54="","",IF(K54="Y",H54*I54,H54*I54*J54))</x:f>
      </x:c>
      <x:c r="M54" s="75" t="str">
        <x:f>IF($E54="","",IFERROR(SUMIFS('Master_BOM'!$J$4:$J$200,'Master_BOM'!$C$4:$C$200,E54),0))</x:f>
      </x:c>
      <x:c r="N54" s="75" t="str">
        <x:f>IF($E54="","",L54+M54)</x:f>
      </x:c>
      <x:c r="O54" s="75" t="str">
        <x:f>IF($E54="","",SUMIFS('Input_Inventory'!$G$4:$G$200,'Input_Inventory'!$C$4:$C$200,E54))</x:f>
      </x:c>
      <x:c r="P54" s="75" t="str">
        <x:f>IF($E54="","",SUMIFS('Input_Inventory'!$L$4:$L$200,'Input_Inventory'!$C$4:$C$200,E54,'Input_Inventory'!$F$4:$F$200,B54))</x:f>
      </x:c>
      <x:c r="Q54" s="75" t="str">
        <x:f>IF($E54="","",O54+P54)</x:f>
      </x:c>
      <x:c r="R54" s="75" t="str">
        <x:f>IF($E54="","",MAX(0,N54-Q54))</x:f>
      </x:c>
      <x:c r="S54" s="75" t="str">
        <x:f>IF($E54="","",SUMIFS('Master_Rules'!$G$4:$G$200,'Master_Rules'!$D$4:$D$200,E54))</x:f>
      </x:c>
      <x:c r="T54" s="75" t="str">
        <x:f>IF($E54="","",IF(S54=0,R54,MAX(S54,CEILING(R54,SUMIFS('Master_Rules'!$H$4:$H$200,'Master_Rules'!$D$4:$D$200,E54)))))</x:f>
      </x:c>
      <x:c r="U54" s="75" t="str">
        <x:f>IF($E54="","",T54*SUMIFS('Master_Rules'!$J$4:$J$200,'Master_Rules'!$D$4:$D$200,E54))</x:f>
      </x:c>
      <x:c r="V54" s="83" t="str">
        <x:f>IF($E54="","",IF(T54&gt;R54,"MOQ 조정",IF(K54="Y","필수품 확인","정상")))</x:f>
      </x:c>
    </x:row>
    <x:row r="55">
      <x:c r="A55" s="71"/>
      <x:c r="B55" s="71"/>
      <x:c r="C55" s="72"/>
      <x:c r="D55" s="72"/>
      <x:c r="E55" s="72"/>
      <x:c r="F55" s="72"/>
      <x:c r="G55" s="72"/>
      <x:c r="H55" s="81" t="str">
        <x:f>IF($E55="","",SUMIFS('Input_OL'!$K$4:$K$200,'Input_OL'!$C$4:$C$200,C55,'Input_OL'!$F$4:$F$200,B55))</x:f>
      </x:c>
      <x:c r="I55" s="81" t="str">
        <x:f>IF($E55="","",SUMIFS('Master_BOM'!$F$4:$F$200,'Master_BOM'!$A$4:$A$200,C55,'Master_BOM'!$C$4:$C$200,E55))</x:f>
      </x:c>
      <x:c r="J55" s="82" t="str">
        <x:f>IF($E55="","",SUMIFS('Master_BOM'!$G$4:$G$200,'Master_BOM'!$A$4:$A$200,C55,'Master_BOM'!$C$4:$C$200,E55))</x:f>
      </x:c>
      <x:c r="K55" s="83" t="str">
        <x:f>IF($E55="","",SUMIFS('Master_BOM'!$H$4:$H$200,'Master_BOM'!$A$4:$A$200,C55,'Master_BOM'!$C$4:$C$200,E55))</x:f>
      </x:c>
      <x:c r="L55" s="75" t="str">
        <x:f>IF($E55="","",IF(K55="Y",H55*I55,H55*I55*J55))</x:f>
      </x:c>
      <x:c r="M55" s="75" t="str">
        <x:f>IF($E55="","",IFERROR(SUMIFS('Master_BOM'!$J$4:$J$200,'Master_BOM'!$C$4:$C$200,E55),0))</x:f>
      </x:c>
      <x:c r="N55" s="75" t="str">
        <x:f>IF($E55="","",L55+M55)</x:f>
      </x:c>
      <x:c r="O55" s="75" t="str">
        <x:f>IF($E55="","",SUMIFS('Input_Inventory'!$G$4:$G$200,'Input_Inventory'!$C$4:$C$200,E55))</x:f>
      </x:c>
      <x:c r="P55" s="75" t="str">
        <x:f>IF($E55="","",SUMIFS('Input_Inventory'!$L$4:$L$200,'Input_Inventory'!$C$4:$C$200,E55,'Input_Inventory'!$F$4:$F$200,B55))</x:f>
      </x:c>
      <x:c r="Q55" s="75" t="str">
        <x:f>IF($E55="","",O55+P55)</x:f>
      </x:c>
      <x:c r="R55" s="75" t="str">
        <x:f>IF($E55="","",MAX(0,N55-Q55))</x:f>
      </x:c>
      <x:c r="S55" s="75" t="str">
        <x:f>IF($E55="","",SUMIFS('Master_Rules'!$G$4:$G$200,'Master_Rules'!$D$4:$D$200,E55))</x:f>
      </x:c>
      <x:c r="T55" s="75" t="str">
        <x:f>IF($E55="","",IF(S55=0,R55,MAX(S55,CEILING(R55,SUMIFS('Master_Rules'!$H$4:$H$200,'Master_Rules'!$D$4:$D$200,E55)))))</x:f>
      </x:c>
      <x:c r="U55" s="75" t="str">
        <x:f>IF($E55="","",T55*SUMIFS('Master_Rules'!$J$4:$J$200,'Master_Rules'!$D$4:$D$200,E55))</x:f>
      </x:c>
      <x:c r="V55" s="83" t="str">
        <x:f>IF($E55="","",IF(T55&gt;R55,"MOQ 조정",IF(K55="Y","필수품 확인","정상")))</x:f>
      </x:c>
    </x:row>
    <x:row r="56">
      <x:c r="A56" s="71"/>
      <x:c r="B56" s="71"/>
      <x:c r="C56" s="72"/>
      <x:c r="D56" s="72"/>
      <x:c r="E56" s="72"/>
      <x:c r="F56" s="72"/>
      <x:c r="G56" s="72"/>
      <x:c r="H56" s="81" t="str">
        <x:f>IF($E56="","",SUMIFS('Input_OL'!$K$4:$K$200,'Input_OL'!$C$4:$C$200,C56,'Input_OL'!$F$4:$F$200,B56))</x:f>
      </x:c>
      <x:c r="I56" s="81" t="str">
        <x:f>IF($E56="","",SUMIFS('Master_BOM'!$F$4:$F$200,'Master_BOM'!$A$4:$A$200,C56,'Master_BOM'!$C$4:$C$200,E56))</x:f>
      </x:c>
      <x:c r="J56" s="82" t="str">
        <x:f>IF($E56="","",SUMIFS('Master_BOM'!$G$4:$G$200,'Master_BOM'!$A$4:$A$200,C56,'Master_BOM'!$C$4:$C$200,E56))</x:f>
      </x:c>
      <x:c r="K56" s="83" t="str">
        <x:f>IF($E56="","",SUMIFS('Master_BOM'!$H$4:$H$200,'Master_BOM'!$A$4:$A$200,C56,'Master_BOM'!$C$4:$C$200,E56))</x:f>
      </x:c>
      <x:c r="L56" s="75" t="str">
        <x:f>IF($E56="","",IF(K56="Y",H56*I56,H56*I56*J56))</x:f>
      </x:c>
      <x:c r="M56" s="75" t="str">
        <x:f>IF($E56="","",IFERROR(SUMIFS('Master_BOM'!$J$4:$J$200,'Master_BOM'!$C$4:$C$200,E56),0))</x:f>
      </x:c>
      <x:c r="N56" s="75" t="str">
        <x:f>IF($E56="","",L56+M56)</x:f>
      </x:c>
      <x:c r="O56" s="75" t="str">
        <x:f>IF($E56="","",SUMIFS('Input_Inventory'!$G$4:$G$200,'Input_Inventory'!$C$4:$C$200,E56))</x:f>
      </x:c>
      <x:c r="P56" s="75" t="str">
        <x:f>IF($E56="","",SUMIFS('Input_Inventory'!$L$4:$L$200,'Input_Inventory'!$C$4:$C$200,E56,'Input_Inventory'!$F$4:$F$200,B56))</x:f>
      </x:c>
      <x:c r="Q56" s="75" t="str">
        <x:f>IF($E56="","",O56+P56)</x:f>
      </x:c>
      <x:c r="R56" s="75" t="str">
        <x:f>IF($E56="","",MAX(0,N56-Q56))</x:f>
      </x:c>
      <x:c r="S56" s="75" t="str">
        <x:f>IF($E56="","",SUMIFS('Master_Rules'!$G$4:$G$200,'Master_Rules'!$D$4:$D$200,E56))</x:f>
      </x:c>
      <x:c r="T56" s="75" t="str">
        <x:f>IF($E56="","",IF(S56=0,R56,MAX(S56,CEILING(R56,SUMIFS('Master_Rules'!$H$4:$H$200,'Master_Rules'!$D$4:$D$200,E56)))))</x:f>
      </x:c>
      <x:c r="U56" s="75" t="str">
        <x:f>IF($E56="","",T56*SUMIFS('Master_Rules'!$J$4:$J$200,'Master_Rules'!$D$4:$D$200,E56))</x:f>
      </x:c>
      <x:c r="V56" s="83" t="str">
        <x:f>IF($E56="","",IF(T56&gt;R56,"MOQ 조정",IF(K56="Y","필수품 확인","정상")))</x:f>
      </x:c>
    </x:row>
    <x:row r="57">
      <x:c r="A57" s="71"/>
      <x:c r="B57" s="71"/>
      <x:c r="C57" s="72"/>
      <x:c r="D57" s="72"/>
      <x:c r="E57" s="72"/>
      <x:c r="F57" s="72"/>
      <x:c r="G57" s="72"/>
      <x:c r="H57" s="81" t="str">
        <x:f>IF($E57="","",SUMIFS('Input_OL'!$K$4:$K$200,'Input_OL'!$C$4:$C$200,C57,'Input_OL'!$F$4:$F$200,B57))</x:f>
      </x:c>
      <x:c r="I57" s="81" t="str">
        <x:f>IF($E57="","",SUMIFS('Master_BOM'!$F$4:$F$200,'Master_BOM'!$A$4:$A$200,C57,'Master_BOM'!$C$4:$C$200,E57))</x:f>
      </x:c>
      <x:c r="J57" s="82" t="str">
        <x:f>IF($E57="","",SUMIFS('Master_BOM'!$G$4:$G$200,'Master_BOM'!$A$4:$A$200,C57,'Master_BOM'!$C$4:$C$200,E57))</x:f>
      </x:c>
      <x:c r="K57" s="83" t="str">
        <x:f>IF($E57="","",SUMIFS('Master_BOM'!$H$4:$H$200,'Master_BOM'!$A$4:$A$200,C57,'Master_BOM'!$C$4:$C$200,E57))</x:f>
      </x:c>
      <x:c r="L57" s="75" t="str">
        <x:f>IF($E57="","",IF(K57="Y",H57*I57,H57*I57*J57))</x:f>
      </x:c>
      <x:c r="M57" s="75" t="str">
        <x:f>IF($E57="","",IFERROR(SUMIFS('Master_BOM'!$J$4:$J$200,'Master_BOM'!$C$4:$C$200,E57),0))</x:f>
      </x:c>
      <x:c r="N57" s="75" t="str">
        <x:f>IF($E57="","",L57+M57)</x:f>
      </x:c>
      <x:c r="O57" s="75" t="str">
        <x:f>IF($E57="","",SUMIFS('Input_Inventory'!$G$4:$G$200,'Input_Inventory'!$C$4:$C$200,E57))</x:f>
      </x:c>
      <x:c r="P57" s="75" t="str">
        <x:f>IF($E57="","",SUMIFS('Input_Inventory'!$L$4:$L$200,'Input_Inventory'!$C$4:$C$200,E57,'Input_Inventory'!$F$4:$F$200,B57))</x:f>
      </x:c>
      <x:c r="Q57" s="75" t="str">
        <x:f>IF($E57="","",O57+P57)</x:f>
      </x:c>
      <x:c r="R57" s="75" t="str">
        <x:f>IF($E57="","",MAX(0,N57-Q57))</x:f>
      </x:c>
      <x:c r="S57" s="75" t="str">
        <x:f>IF($E57="","",SUMIFS('Master_Rules'!$G$4:$G$200,'Master_Rules'!$D$4:$D$200,E57))</x:f>
      </x:c>
      <x:c r="T57" s="75" t="str">
        <x:f>IF($E57="","",IF(S57=0,R57,MAX(S57,CEILING(R57,SUMIFS('Master_Rules'!$H$4:$H$200,'Master_Rules'!$D$4:$D$200,E57)))))</x:f>
      </x:c>
      <x:c r="U57" s="75" t="str">
        <x:f>IF($E57="","",T57*SUMIFS('Master_Rules'!$J$4:$J$200,'Master_Rules'!$D$4:$D$200,E57))</x:f>
      </x:c>
      <x:c r="V57" s="83" t="str">
        <x:f>IF($E57="","",IF(T57&gt;R57,"MOQ 조정",IF(K57="Y","필수품 확인","정상")))</x:f>
      </x:c>
    </x:row>
    <x:row r="58">
      <x:c r="A58" s="71"/>
      <x:c r="B58" s="71"/>
      <x:c r="C58" s="72"/>
      <x:c r="D58" s="72"/>
      <x:c r="E58" s="72"/>
      <x:c r="F58" s="72"/>
      <x:c r="G58" s="72"/>
      <x:c r="H58" s="81" t="str">
        <x:f>IF($E58="","",SUMIFS('Input_OL'!$K$4:$K$200,'Input_OL'!$C$4:$C$200,C58,'Input_OL'!$F$4:$F$200,B58))</x:f>
      </x:c>
      <x:c r="I58" s="81" t="str">
        <x:f>IF($E58="","",SUMIFS('Master_BOM'!$F$4:$F$200,'Master_BOM'!$A$4:$A$200,C58,'Master_BOM'!$C$4:$C$200,E58))</x:f>
      </x:c>
      <x:c r="J58" s="82" t="str">
        <x:f>IF($E58="","",SUMIFS('Master_BOM'!$G$4:$G$200,'Master_BOM'!$A$4:$A$200,C58,'Master_BOM'!$C$4:$C$200,E58))</x:f>
      </x:c>
      <x:c r="K58" s="83" t="str">
        <x:f>IF($E58="","",SUMIFS('Master_BOM'!$H$4:$H$200,'Master_BOM'!$A$4:$A$200,C58,'Master_BOM'!$C$4:$C$200,E58))</x:f>
      </x:c>
      <x:c r="L58" s="75" t="str">
        <x:f>IF($E58="","",IF(K58="Y",H58*I58,H58*I58*J58))</x:f>
      </x:c>
      <x:c r="M58" s="75" t="str">
        <x:f>IF($E58="","",IFERROR(SUMIFS('Master_BOM'!$J$4:$J$200,'Master_BOM'!$C$4:$C$200,E58),0))</x:f>
      </x:c>
      <x:c r="N58" s="75" t="str">
        <x:f>IF($E58="","",L58+M58)</x:f>
      </x:c>
      <x:c r="O58" s="75" t="str">
        <x:f>IF($E58="","",SUMIFS('Input_Inventory'!$G$4:$G$200,'Input_Inventory'!$C$4:$C$200,E58))</x:f>
      </x:c>
      <x:c r="P58" s="75" t="str">
        <x:f>IF($E58="","",SUMIFS('Input_Inventory'!$L$4:$L$200,'Input_Inventory'!$C$4:$C$200,E58,'Input_Inventory'!$F$4:$F$200,B58))</x:f>
      </x:c>
      <x:c r="Q58" s="75" t="str">
        <x:f>IF($E58="","",O58+P58)</x:f>
      </x:c>
      <x:c r="R58" s="75" t="str">
        <x:f>IF($E58="","",MAX(0,N58-Q58))</x:f>
      </x:c>
      <x:c r="S58" s="75" t="str">
        <x:f>IF($E58="","",SUMIFS('Master_Rules'!$G$4:$G$200,'Master_Rules'!$D$4:$D$200,E58))</x:f>
      </x:c>
      <x:c r="T58" s="75" t="str">
        <x:f>IF($E58="","",IF(S58=0,R58,MAX(S58,CEILING(R58,SUMIFS('Master_Rules'!$H$4:$H$200,'Master_Rules'!$D$4:$D$200,E58)))))</x:f>
      </x:c>
      <x:c r="U58" s="75" t="str">
        <x:f>IF($E58="","",T58*SUMIFS('Master_Rules'!$J$4:$J$200,'Master_Rules'!$D$4:$D$200,E58))</x:f>
      </x:c>
      <x:c r="V58" s="83" t="str">
        <x:f>IF($E58="","",IF(T58&gt;R58,"MOQ 조정",IF(K58="Y","필수품 확인","정상")))</x:f>
      </x:c>
    </x:row>
    <x:row r="59">
      <x:c r="A59" s="71"/>
      <x:c r="B59" s="71"/>
      <x:c r="C59" s="72"/>
      <x:c r="D59" s="72"/>
      <x:c r="E59" s="72"/>
      <x:c r="F59" s="72"/>
      <x:c r="G59" s="72"/>
      <x:c r="H59" s="81" t="str">
        <x:f>IF($E59="","",SUMIFS('Input_OL'!$K$4:$K$200,'Input_OL'!$C$4:$C$200,C59,'Input_OL'!$F$4:$F$200,B59))</x:f>
      </x:c>
      <x:c r="I59" s="81" t="str">
        <x:f>IF($E59="","",SUMIFS('Master_BOM'!$F$4:$F$200,'Master_BOM'!$A$4:$A$200,C59,'Master_BOM'!$C$4:$C$200,E59))</x:f>
      </x:c>
      <x:c r="J59" s="82" t="str">
        <x:f>IF($E59="","",SUMIFS('Master_BOM'!$G$4:$G$200,'Master_BOM'!$A$4:$A$200,C59,'Master_BOM'!$C$4:$C$200,E59))</x:f>
      </x:c>
      <x:c r="K59" s="83" t="str">
        <x:f>IF($E59="","",SUMIFS('Master_BOM'!$H$4:$H$200,'Master_BOM'!$A$4:$A$200,C59,'Master_BOM'!$C$4:$C$200,E59))</x:f>
      </x:c>
      <x:c r="L59" s="75" t="str">
        <x:f>IF($E59="","",IF(K59="Y",H59*I59,H59*I59*J59))</x:f>
      </x:c>
      <x:c r="M59" s="75" t="str">
        <x:f>IF($E59="","",IFERROR(SUMIFS('Master_BOM'!$J$4:$J$200,'Master_BOM'!$C$4:$C$200,E59),0))</x:f>
      </x:c>
      <x:c r="N59" s="75" t="str">
        <x:f>IF($E59="","",L59+M59)</x:f>
      </x:c>
      <x:c r="O59" s="75" t="str">
        <x:f>IF($E59="","",SUMIFS('Input_Inventory'!$G$4:$G$200,'Input_Inventory'!$C$4:$C$200,E59))</x:f>
      </x:c>
      <x:c r="P59" s="75" t="str">
        <x:f>IF($E59="","",SUMIFS('Input_Inventory'!$L$4:$L$200,'Input_Inventory'!$C$4:$C$200,E59,'Input_Inventory'!$F$4:$F$200,B59))</x:f>
      </x:c>
      <x:c r="Q59" s="75" t="str">
        <x:f>IF($E59="","",O59+P59)</x:f>
      </x:c>
      <x:c r="R59" s="75" t="str">
        <x:f>IF($E59="","",MAX(0,N59-Q59))</x:f>
      </x:c>
      <x:c r="S59" s="75" t="str">
        <x:f>IF($E59="","",SUMIFS('Master_Rules'!$G$4:$G$200,'Master_Rules'!$D$4:$D$200,E59))</x:f>
      </x:c>
      <x:c r="T59" s="75" t="str">
        <x:f>IF($E59="","",IF(S59=0,R59,MAX(S59,CEILING(R59,SUMIFS('Master_Rules'!$H$4:$H$200,'Master_Rules'!$D$4:$D$200,E59)))))</x:f>
      </x:c>
      <x:c r="U59" s="75" t="str">
        <x:f>IF($E59="","",T59*SUMIFS('Master_Rules'!$J$4:$J$200,'Master_Rules'!$D$4:$D$200,E59))</x:f>
      </x:c>
      <x:c r="V59" s="83" t="str">
        <x:f>IF($E59="","",IF(T59&gt;R59,"MOQ 조정",IF(K59="Y","필수품 확인","정상")))</x:f>
      </x:c>
    </x:row>
    <x:row r="60">
      <x:c r="A60" s="71"/>
      <x:c r="B60" s="71"/>
      <x:c r="C60" s="72"/>
      <x:c r="D60" s="72"/>
      <x:c r="E60" s="72"/>
      <x:c r="F60" s="72"/>
      <x:c r="G60" s="72"/>
      <x:c r="H60" s="81" t="str">
        <x:f>IF($E60="","",SUMIFS('Input_OL'!$K$4:$K$200,'Input_OL'!$C$4:$C$200,C60,'Input_OL'!$F$4:$F$200,B60))</x:f>
      </x:c>
      <x:c r="I60" s="81" t="str">
        <x:f>IF($E60="","",SUMIFS('Master_BOM'!$F$4:$F$200,'Master_BOM'!$A$4:$A$200,C60,'Master_BOM'!$C$4:$C$200,E60))</x:f>
      </x:c>
      <x:c r="J60" s="82" t="str">
        <x:f>IF($E60="","",SUMIFS('Master_BOM'!$G$4:$G$200,'Master_BOM'!$A$4:$A$200,C60,'Master_BOM'!$C$4:$C$200,E60))</x:f>
      </x:c>
      <x:c r="K60" s="83" t="str">
        <x:f>IF($E60="","",SUMIFS('Master_BOM'!$H$4:$H$200,'Master_BOM'!$A$4:$A$200,C60,'Master_BOM'!$C$4:$C$200,E60))</x:f>
      </x:c>
      <x:c r="L60" s="75" t="str">
        <x:f>IF($E60="","",IF(K60="Y",H60*I60,H60*I60*J60))</x:f>
      </x:c>
      <x:c r="M60" s="75" t="str">
        <x:f>IF($E60="","",IFERROR(SUMIFS('Master_BOM'!$J$4:$J$200,'Master_BOM'!$C$4:$C$200,E60),0))</x:f>
      </x:c>
      <x:c r="N60" s="75" t="str">
        <x:f>IF($E60="","",L60+M60)</x:f>
      </x:c>
      <x:c r="O60" s="75" t="str">
        <x:f>IF($E60="","",SUMIFS('Input_Inventory'!$G$4:$G$200,'Input_Inventory'!$C$4:$C$200,E60))</x:f>
      </x:c>
      <x:c r="P60" s="75" t="str">
        <x:f>IF($E60="","",SUMIFS('Input_Inventory'!$L$4:$L$200,'Input_Inventory'!$C$4:$C$200,E60,'Input_Inventory'!$F$4:$F$200,B60))</x:f>
      </x:c>
      <x:c r="Q60" s="75" t="str">
        <x:f>IF($E60="","",O60+P60)</x:f>
      </x:c>
      <x:c r="R60" s="75" t="str">
        <x:f>IF($E60="","",MAX(0,N60-Q60))</x:f>
      </x:c>
      <x:c r="S60" s="75" t="str">
        <x:f>IF($E60="","",SUMIFS('Master_Rules'!$G$4:$G$200,'Master_Rules'!$D$4:$D$200,E60))</x:f>
      </x:c>
      <x:c r="T60" s="75" t="str">
        <x:f>IF($E60="","",IF(S60=0,R60,MAX(S60,CEILING(R60,SUMIFS('Master_Rules'!$H$4:$H$200,'Master_Rules'!$D$4:$D$200,E60)))))</x:f>
      </x:c>
      <x:c r="U60" s="75" t="str">
        <x:f>IF($E60="","",T60*SUMIFS('Master_Rules'!$J$4:$J$200,'Master_Rules'!$D$4:$D$200,E60))</x:f>
      </x:c>
      <x:c r="V60" s="83" t="str">
        <x:f>IF($E60="","",IF(T60&gt;R60,"MOQ 조정",IF(K60="Y","필수품 확인","정상")))</x:f>
      </x:c>
    </x:row>
    <x:row r="61">
      <x:c r="A61" s="71"/>
      <x:c r="B61" s="71"/>
      <x:c r="C61" s="72"/>
      <x:c r="D61" s="72"/>
      <x:c r="E61" s="72"/>
      <x:c r="F61" s="72"/>
      <x:c r="G61" s="72"/>
      <x:c r="H61" s="81" t="str">
        <x:f>IF($E61="","",SUMIFS('Input_OL'!$K$4:$K$200,'Input_OL'!$C$4:$C$200,C61,'Input_OL'!$F$4:$F$200,B61))</x:f>
      </x:c>
      <x:c r="I61" s="81" t="str">
        <x:f>IF($E61="","",SUMIFS('Master_BOM'!$F$4:$F$200,'Master_BOM'!$A$4:$A$200,C61,'Master_BOM'!$C$4:$C$200,E61))</x:f>
      </x:c>
      <x:c r="J61" s="82" t="str">
        <x:f>IF($E61="","",SUMIFS('Master_BOM'!$G$4:$G$200,'Master_BOM'!$A$4:$A$200,C61,'Master_BOM'!$C$4:$C$200,E61))</x:f>
      </x:c>
      <x:c r="K61" s="83" t="str">
        <x:f>IF($E61="","",SUMIFS('Master_BOM'!$H$4:$H$200,'Master_BOM'!$A$4:$A$200,C61,'Master_BOM'!$C$4:$C$200,E61))</x:f>
      </x:c>
      <x:c r="L61" s="75" t="str">
        <x:f>IF($E61="","",IF(K61="Y",H61*I61,H61*I61*J61))</x:f>
      </x:c>
      <x:c r="M61" s="75" t="str">
        <x:f>IF($E61="","",IFERROR(SUMIFS('Master_BOM'!$J$4:$J$200,'Master_BOM'!$C$4:$C$200,E61),0))</x:f>
      </x:c>
      <x:c r="N61" s="75" t="str">
        <x:f>IF($E61="","",L61+M61)</x:f>
      </x:c>
      <x:c r="O61" s="75" t="str">
        <x:f>IF($E61="","",SUMIFS('Input_Inventory'!$G$4:$G$200,'Input_Inventory'!$C$4:$C$200,E61))</x:f>
      </x:c>
      <x:c r="P61" s="75" t="str">
        <x:f>IF($E61="","",SUMIFS('Input_Inventory'!$L$4:$L$200,'Input_Inventory'!$C$4:$C$200,E61,'Input_Inventory'!$F$4:$F$200,B61))</x:f>
      </x:c>
      <x:c r="Q61" s="75" t="str">
        <x:f>IF($E61="","",O61+P61)</x:f>
      </x:c>
      <x:c r="R61" s="75" t="str">
        <x:f>IF($E61="","",MAX(0,N61-Q61))</x:f>
      </x:c>
      <x:c r="S61" s="75" t="str">
        <x:f>IF($E61="","",SUMIFS('Master_Rules'!$G$4:$G$200,'Master_Rules'!$D$4:$D$200,E61))</x:f>
      </x:c>
      <x:c r="T61" s="75" t="str">
        <x:f>IF($E61="","",IF(S61=0,R61,MAX(S61,CEILING(R61,SUMIFS('Master_Rules'!$H$4:$H$200,'Master_Rules'!$D$4:$D$200,E61)))))</x:f>
      </x:c>
      <x:c r="U61" s="75" t="str">
        <x:f>IF($E61="","",T61*SUMIFS('Master_Rules'!$J$4:$J$200,'Master_Rules'!$D$4:$D$200,E61))</x:f>
      </x:c>
      <x:c r="V61" s="83" t="str">
        <x:f>IF($E61="","",IF(T61&gt;R61,"MOQ 조정",IF(K61="Y","필수품 확인","정상")))</x:f>
      </x:c>
    </x:row>
    <x:row r="62">
      <x:c r="A62" s="71"/>
      <x:c r="B62" s="71"/>
      <x:c r="C62" s="72"/>
      <x:c r="D62" s="72"/>
      <x:c r="E62" s="72"/>
      <x:c r="F62" s="72"/>
      <x:c r="G62" s="72"/>
      <x:c r="H62" s="81" t="str">
        <x:f>IF($E62="","",SUMIFS('Input_OL'!$K$4:$K$200,'Input_OL'!$C$4:$C$200,C62,'Input_OL'!$F$4:$F$200,B62))</x:f>
      </x:c>
      <x:c r="I62" s="81" t="str">
        <x:f>IF($E62="","",SUMIFS('Master_BOM'!$F$4:$F$200,'Master_BOM'!$A$4:$A$200,C62,'Master_BOM'!$C$4:$C$200,E62))</x:f>
      </x:c>
      <x:c r="J62" s="82" t="str">
        <x:f>IF($E62="","",SUMIFS('Master_BOM'!$G$4:$G$200,'Master_BOM'!$A$4:$A$200,C62,'Master_BOM'!$C$4:$C$200,E62))</x:f>
      </x:c>
      <x:c r="K62" s="83" t="str">
        <x:f>IF($E62="","",SUMIFS('Master_BOM'!$H$4:$H$200,'Master_BOM'!$A$4:$A$200,C62,'Master_BOM'!$C$4:$C$200,E62))</x:f>
      </x:c>
      <x:c r="L62" s="75" t="str">
        <x:f>IF($E62="","",IF(K62="Y",H62*I62,H62*I62*J62))</x:f>
      </x:c>
      <x:c r="M62" s="75" t="str">
        <x:f>IF($E62="","",IFERROR(SUMIFS('Master_BOM'!$J$4:$J$200,'Master_BOM'!$C$4:$C$200,E62),0))</x:f>
      </x:c>
      <x:c r="N62" s="75" t="str">
        <x:f>IF($E62="","",L62+M62)</x:f>
      </x:c>
      <x:c r="O62" s="75" t="str">
        <x:f>IF($E62="","",SUMIFS('Input_Inventory'!$G$4:$G$200,'Input_Inventory'!$C$4:$C$200,E62))</x:f>
      </x:c>
      <x:c r="P62" s="75" t="str">
        <x:f>IF($E62="","",SUMIFS('Input_Inventory'!$L$4:$L$200,'Input_Inventory'!$C$4:$C$200,E62,'Input_Inventory'!$F$4:$F$200,B62))</x:f>
      </x:c>
      <x:c r="Q62" s="75" t="str">
        <x:f>IF($E62="","",O62+P62)</x:f>
      </x:c>
      <x:c r="R62" s="75" t="str">
        <x:f>IF($E62="","",MAX(0,N62-Q62))</x:f>
      </x:c>
      <x:c r="S62" s="75" t="str">
        <x:f>IF($E62="","",SUMIFS('Master_Rules'!$G$4:$G$200,'Master_Rules'!$D$4:$D$200,E62))</x:f>
      </x:c>
      <x:c r="T62" s="75" t="str">
        <x:f>IF($E62="","",IF(S62=0,R62,MAX(S62,CEILING(R62,SUMIFS('Master_Rules'!$H$4:$H$200,'Master_Rules'!$D$4:$D$200,E62)))))</x:f>
      </x:c>
      <x:c r="U62" s="75" t="str">
        <x:f>IF($E62="","",T62*SUMIFS('Master_Rules'!$J$4:$J$200,'Master_Rules'!$D$4:$D$200,E62))</x:f>
      </x:c>
      <x:c r="V62" s="83" t="str">
        <x:f>IF($E62="","",IF(T62&gt;R62,"MOQ 조정",IF(K62="Y","필수품 확인","정상")))</x:f>
      </x:c>
    </x:row>
    <x:row r="63">
      <x:c r="A63" s="71"/>
      <x:c r="B63" s="71"/>
      <x:c r="C63" s="72"/>
      <x:c r="D63" s="72"/>
      <x:c r="E63" s="72"/>
      <x:c r="F63" s="72"/>
      <x:c r="G63" s="72"/>
      <x:c r="H63" s="81" t="str">
        <x:f>IF($E63="","",SUMIFS('Input_OL'!$K$4:$K$200,'Input_OL'!$C$4:$C$200,C63,'Input_OL'!$F$4:$F$200,B63))</x:f>
      </x:c>
      <x:c r="I63" s="81" t="str">
        <x:f>IF($E63="","",SUMIFS('Master_BOM'!$F$4:$F$200,'Master_BOM'!$A$4:$A$200,C63,'Master_BOM'!$C$4:$C$200,E63))</x:f>
      </x:c>
      <x:c r="J63" s="82" t="str">
        <x:f>IF($E63="","",SUMIFS('Master_BOM'!$G$4:$G$200,'Master_BOM'!$A$4:$A$200,C63,'Master_BOM'!$C$4:$C$200,E63))</x:f>
      </x:c>
      <x:c r="K63" s="83" t="str">
        <x:f>IF($E63="","",SUMIFS('Master_BOM'!$H$4:$H$200,'Master_BOM'!$A$4:$A$200,C63,'Master_BOM'!$C$4:$C$200,E63))</x:f>
      </x:c>
      <x:c r="L63" s="75" t="str">
        <x:f>IF($E63="","",IF(K63="Y",H63*I63,H63*I63*J63))</x:f>
      </x:c>
      <x:c r="M63" s="75" t="str">
        <x:f>IF($E63="","",IFERROR(SUMIFS('Master_BOM'!$J$4:$J$200,'Master_BOM'!$C$4:$C$200,E63),0))</x:f>
      </x:c>
      <x:c r="N63" s="75" t="str">
        <x:f>IF($E63="","",L63+M63)</x:f>
      </x:c>
      <x:c r="O63" s="75" t="str">
        <x:f>IF($E63="","",SUMIFS('Input_Inventory'!$G$4:$G$200,'Input_Inventory'!$C$4:$C$200,E63))</x:f>
      </x:c>
      <x:c r="P63" s="75" t="str">
        <x:f>IF($E63="","",SUMIFS('Input_Inventory'!$L$4:$L$200,'Input_Inventory'!$C$4:$C$200,E63,'Input_Inventory'!$F$4:$F$200,B63))</x:f>
      </x:c>
      <x:c r="Q63" s="75" t="str">
        <x:f>IF($E63="","",O63+P63)</x:f>
      </x:c>
      <x:c r="R63" s="75" t="str">
        <x:f>IF($E63="","",MAX(0,N63-Q63))</x:f>
      </x:c>
      <x:c r="S63" s="75" t="str">
        <x:f>IF($E63="","",SUMIFS('Master_Rules'!$G$4:$G$200,'Master_Rules'!$D$4:$D$200,E63))</x:f>
      </x:c>
      <x:c r="T63" s="75" t="str">
        <x:f>IF($E63="","",IF(S63=0,R63,MAX(S63,CEILING(R63,SUMIFS('Master_Rules'!$H$4:$H$200,'Master_Rules'!$D$4:$D$200,E63)))))</x:f>
      </x:c>
      <x:c r="U63" s="75" t="str">
        <x:f>IF($E63="","",T63*SUMIFS('Master_Rules'!$J$4:$J$200,'Master_Rules'!$D$4:$D$200,E63))</x:f>
      </x:c>
      <x:c r="V63" s="83" t="str">
        <x:f>IF($E63="","",IF(T63&gt;R63,"MOQ 조정",IF(K63="Y","필수품 확인","정상")))</x:f>
      </x:c>
    </x:row>
    <x:row r="64">
      <x:c r="A64" s="71"/>
      <x:c r="B64" s="71"/>
      <x:c r="C64" s="72"/>
      <x:c r="D64" s="72"/>
      <x:c r="E64" s="72"/>
      <x:c r="F64" s="72"/>
      <x:c r="G64" s="72"/>
      <x:c r="H64" s="81" t="str">
        <x:f>IF($E64="","",SUMIFS('Input_OL'!$K$4:$K$200,'Input_OL'!$C$4:$C$200,C64,'Input_OL'!$F$4:$F$200,B64))</x:f>
      </x:c>
      <x:c r="I64" s="81" t="str">
        <x:f>IF($E64="","",SUMIFS('Master_BOM'!$F$4:$F$200,'Master_BOM'!$A$4:$A$200,C64,'Master_BOM'!$C$4:$C$200,E64))</x:f>
      </x:c>
      <x:c r="J64" s="82" t="str">
        <x:f>IF($E64="","",SUMIFS('Master_BOM'!$G$4:$G$200,'Master_BOM'!$A$4:$A$200,C64,'Master_BOM'!$C$4:$C$200,E64))</x:f>
      </x:c>
      <x:c r="K64" s="83" t="str">
        <x:f>IF($E64="","",SUMIFS('Master_BOM'!$H$4:$H$200,'Master_BOM'!$A$4:$A$200,C64,'Master_BOM'!$C$4:$C$200,E64))</x:f>
      </x:c>
      <x:c r="L64" s="75" t="str">
        <x:f>IF($E64="","",IF(K64="Y",H64*I64,H64*I64*J64))</x:f>
      </x:c>
      <x:c r="M64" s="75" t="str">
        <x:f>IF($E64="","",IFERROR(SUMIFS('Master_BOM'!$J$4:$J$200,'Master_BOM'!$C$4:$C$200,E64),0))</x:f>
      </x:c>
      <x:c r="N64" s="75" t="str">
        <x:f>IF($E64="","",L64+M64)</x:f>
      </x:c>
      <x:c r="O64" s="75" t="str">
        <x:f>IF($E64="","",SUMIFS('Input_Inventory'!$G$4:$G$200,'Input_Inventory'!$C$4:$C$200,E64))</x:f>
      </x:c>
      <x:c r="P64" s="75" t="str">
        <x:f>IF($E64="","",SUMIFS('Input_Inventory'!$L$4:$L$200,'Input_Inventory'!$C$4:$C$200,E64,'Input_Inventory'!$F$4:$F$200,B64))</x:f>
      </x:c>
      <x:c r="Q64" s="75" t="str">
        <x:f>IF($E64="","",O64+P64)</x:f>
      </x:c>
      <x:c r="R64" s="75" t="str">
        <x:f>IF($E64="","",MAX(0,N64-Q64))</x:f>
      </x:c>
      <x:c r="S64" s="75" t="str">
        <x:f>IF($E64="","",SUMIFS('Master_Rules'!$G$4:$G$200,'Master_Rules'!$D$4:$D$200,E64))</x:f>
      </x:c>
      <x:c r="T64" s="75" t="str">
        <x:f>IF($E64="","",IF(S64=0,R64,MAX(S64,CEILING(R64,SUMIFS('Master_Rules'!$H$4:$H$200,'Master_Rules'!$D$4:$D$200,E64)))))</x:f>
      </x:c>
      <x:c r="U64" s="75" t="str">
        <x:f>IF($E64="","",T64*SUMIFS('Master_Rules'!$J$4:$J$200,'Master_Rules'!$D$4:$D$200,E64))</x:f>
      </x:c>
      <x:c r="V64" s="83" t="str">
        <x:f>IF($E64="","",IF(T64&gt;R64,"MOQ 조정",IF(K64="Y","필수품 확인","정상")))</x:f>
      </x:c>
    </x:row>
    <x:row r="65">
      <x:c r="A65" s="71"/>
      <x:c r="B65" s="71"/>
      <x:c r="C65" s="72"/>
      <x:c r="D65" s="72"/>
      <x:c r="E65" s="72"/>
      <x:c r="F65" s="72"/>
      <x:c r="G65" s="72"/>
      <x:c r="H65" s="81" t="str">
        <x:f>IF($E65="","",SUMIFS('Input_OL'!$K$4:$K$200,'Input_OL'!$C$4:$C$200,C65,'Input_OL'!$F$4:$F$200,B65))</x:f>
      </x:c>
      <x:c r="I65" s="81" t="str">
        <x:f>IF($E65="","",SUMIFS('Master_BOM'!$F$4:$F$200,'Master_BOM'!$A$4:$A$200,C65,'Master_BOM'!$C$4:$C$200,E65))</x:f>
      </x:c>
      <x:c r="J65" s="82" t="str">
        <x:f>IF($E65="","",SUMIFS('Master_BOM'!$G$4:$G$200,'Master_BOM'!$A$4:$A$200,C65,'Master_BOM'!$C$4:$C$200,E65))</x:f>
      </x:c>
      <x:c r="K65" s="83" t="str">
        <x:f>IF($E65="","",SUMIFS('Master_BOM'!$H$4:$H$200,'Master_BOM'!$A$4:$A$200,C65,'Master_BOM'!$C$4:$C$200,E65))</x:f>
      </x:c>
      <x:c r="L65" s="75" t="str">
        <x:f>IF($E65="","",IF(K65="Y",H65*I65,H65*I65*J65))</x:f>
      </x:c>
      <x:c r="M65" s="75" t="str">
        <x:f>IF($E65="","",IFERROR(SUMIFS('Master_BOM'!$J$4:$J$200,'Master_BOM'!$C$4:$C$200,E65),0))</x:f>
      </x:c>
      <x:c r="N65" s="75" t="str">
        <x:f>IF($E65="","",L65+M65)</x:f>
      </x:c>
      <x:c r="O65" s="75" t="str">
        <x:f>IF($E65="","",SUMIFS('Input_Inventory'!$G$4:$G$200,'Input_Inventory'!$C$4:$C$200,E65))</x:f>
      </x:c>
      <x:c r="P65" s="75" t="str">
        <x:f>IF($E65="","",SUMIFS('Input_Inventory'!$L$4:$L$200,'Input_Inventory'!$C$4:$C$200,E65,'Input_Inventory'!$F$4:$F$200,B65))</x:f>
      </x:c>
      <x:c r="Q65" s="75" t="str">
        <x:f>IF($E65="","",O65+P65)</x:f>
      </x:c>
      <x:c r="R65" s="75" t="str">
        <x:f>IF($E65="","",MAX(0,N65-Q65))</x:f>
      </x:c>
      <x:c r="S65" s="75" t="str">
        <x:f>IF($E65="","",SUMIFS('Master_Rules'!$G$4:$G$200,'Master_Rules'!$D$4:$D$200,E65))</x:f>
      </x:c>
      <x:c r="T65" s="75" t="str">
        <x:f>IF($E65="","",IF(S65=0,R65,MAX(S65,CEILING(R65,SUMIFS('Master_Rules'!$H$4:$H$200,'Master_Rules'!$D$4:$D$200,E65)))))</x:f>
      </x:c>
      <x:c r="U65" s="75" t="str">
        <x:f>IF($E65="","",T65*SUMIFS('Master_Rules'!$J$4:$J$200,'Master_Rules'!$D$4:$D$200,E65))</x:f>
      </x:c>
      <x:c r="V65" s="83" t="str">
        <x:f>IF($E65="","",IF(T65&gt;R65,"MOQ 조정",IF(K65="Y","필수품 확인","정상")))</x:f>
      </x:c>
    </x:row>
    <x:row r="66">
      <x:c r="A66" s="71"/>
      <x:c r="B66" s="71"/>
      <x:c r="C66" s="72"/>
      <x:c r="D66" s="72"/>
      <x:c r="E66" s="72"/>
      <x:c r="F66" s="72"/>
      <x:c r="G66" s="72"/>
      <x:c r="H66" s="81" t="str">
        <x:f>IF($E66="","",SUMIFS('Input_OL'!$K$4:$K$200,'Input_OL'!$C$4:$C$200,C66,'Input_OL'!$F$4:$F$200,B66))</x:f>
      </x:c>
      <x:c r="I66" s="81" t="str">
        <x:f>IF($E66="","",SUMIFS('Master_BOM'!$F$4:$F$200,'Master_BOM'!$A$4:$A$200,C66,'Master_BOM'!$C$4:$C$200,E66))</x:f>
      </x:c>
      <x:c r="J66" s="82" t="str">
        <x:f>IF($E66="","",SUMIFS('Master_BOM'!$G$4:$G$200,'Master_BOM'!$A$4:$A$200,C66,'Master_BOM'!$C$4:$C$200,E66))</x:f>
      </x:c>
      <x:c r="K66" s="83" t="str">
        <x:f>IF($E66="","",SUMIFS('Master_BOM'!$H$4:$H$200,'Master_BOM'!$A$4:$A$200,C66,'Master_BOM'!$C$4:$C$200,E66))</x:f>
      </x:c>
      <x:c r="L66" s="75" t="str">
        <x:f>IF($E66="","",IF(K66="Y",H66*I66,H66*I66*J66))</x:f>
      </x:c>
      <x:c r="M66" s="75" t="str">
        <x:f>IF($E66="","",IFERROR(SUMIFS('Master_BOM'!$J$4:$J$200,'Master_BOM'!$C$4:$C$200,E66),0))</x:f>
      </x:c>
      <x:c r="N66" s="75" t="str">
        <x:f>IF($E66="","",L66+M66)</x:f>
      </x:c>
      <x:c r="O66" s="75" t="str">
        <x:f>IF($E66="","",SUMIFS('Input_Inventory'!$G$4:$G$200,'Input_Inventory'!$C$4:$C$200,E66))</x:f>
      </x:c>
      <x:c r="P66" s="75" t="str">
        <x:f>IF($E66="","",SUMIFS('Input_Inventory'!$L$4:$L$200,'Input_Inventory'!$C$4:$C$200,E66,'Input_Inventory'!$F$4:$F$200,B66))</x:f>
      </x:c>
      <x:c r="Q66" s="75" t="str">
        <x:f>IF($E66="","",O66+P66)</x:f>
      </x:c>
      <x:c r="R66" s="75" t="str">
        <x:f>IF($E66="","",MAX(0,N66-Q66))</x:f>
      </x:c>
      <x:c r="S66" s="75" t="str">
        <x:f>IF($E66="","",SUMIFS('Master_Rules'!$G$4:$G$200,'Master_Rules'!$D$4:$D$200,E66))</x:f>
      </x:c>
      <x:c r="T66" s="75" t="str">
        <x:f>IF($E66="","",IF(S66=0,R66,MAX(S66,CEILING(R66,SUMIFS('Master_Rules'!$H$4:$H$200,'Master_Rules'!$D$4:$D$200,E66)))))</x:f>
      </x:c>
      <x:c r="U66" s="75" t="str">
        <x:f>IF($E66="","",T66*SUMIFS('Master_Rules'!$J$4:$J$200,'Master_Rules'!$D$4:$D$200,E66))</x:f>
      </x:c>
      <x:c r="V66" s="83" t="str">
        <x:f>IF($E66="","",IF(T66&gt;R66,"MOQ 조정",IF(K66="Y","필수품 확인","정상")))</x:f>
      </x:c>
    </x:row>
    <x:row r="67">
      <x:c r="A67" s="71"/>
      <x:c r="B67" s="71"/>
      <x:c r="C67" s="72"/>
      <x:c r="D67" s="72"/>
      <x:c r="E67" s="72"/>
      <x:c r="F67" s="72"/>
      <x:c r="G67" s="72"/>
      <x:c r="H67" s="81" t="str">
        <x:f>IF($E67="","",SUMIFS('Input_OL'!$K$4:$K$200,'Input_OL'!$C$4:$C$200,C67,'Input_OL'!$F$4:$F$200,B67))</x:f>
      </x:c>
      <x:c r="I67" s="81" t="str">
        <x:f>IF($E67="","",SUMIFS('Master_BOM'!$F$4:$F$200,'Master_BOM'!$A$4:$A$200,C67,'Master_BOM'!$C$4:$C$200,E67))</x:f>
      </x:c>
      <x:c r="J67" s="82" t="str">
        <x:f>IF($E67="","",SUMIFS('Master_BOM'!$G$4:$G$200,'Master_BOM'!$A$4:$A$200,C67,'Master_BOM'!$C$4:$C$200,E67))</x:f>
      </x:c>
      <x:c r="K67" s="83" t="str">
        <x:f>IF($E67="","",SUMIFS('Master_BOM'!$H$4:$H$200,'Master_BOM'!$A$4:$A$200,C67,'Master_BOM'!$C$4:$C$200,E67))</x:f>
      </x:c>
      <x:c r="L67" s="75" t="str">
        <x:f>IF($E67="","",IF(K67="Y",H67*I67,H67*I67*J67))</x:f>
      </x:c>
      <x:c r="M67" s="75" t="str">
        <x:f>IF($E67="","",IFERROR(SUMIFS('Master_BOM'!$J$4:$J$200,'Master_BOM'!$C$4:$C$200,E67),0))</x:f>
      </x:c>
      <x:c r="N67" s="75" t="str">
        <x:f>IF($E67="","",L67+M67)</x:f>
      </x:c>
      <x:c r="O67" s="75" t="str">
        <x:f>IF($E67="","",SUMIFS('Input_Inventory'!$G$4:$G$200,'Input_Inventory'!$C$4:$C$200,E67))</x:f>
      </x:c>
      <x:c r="P67" s="75" t="str">
        <x:f>IF($E67="","",SUMIFS('Input_Inventory'!$L$4:$L$200,'Input_Inventory'!$C$4:$C$200,E67,'Input_Inventory'!$F$4:$F$200,B67))</x:f>
      </x:c>
      <x:c r="Q67" s="75" t="str">
        <x:f>IF($E67="","",O67+P67)</x:f>
      </x:c>
      <x:c r="R67" s="75" t="str">
        <x:f>IF($E67="","",MAX(0,N67-Q67))</x:f>
      </x:c>
      <x:c r="S67" s="75" t="str">
        <x:f>IF($E67="","",SUMIFS('Master_Rules'!$G$4:$G$200,'Master_Rules'!$D$4:$D$200,E67))</x:f>
      </x:c>
      <x:c r="T67" s="75" t="str">
        <x:f>IF($E67="","",IF(S67=0,R67,MAX(S67,CEILING(R67,SUMIFS('Master_Rules'!$H$4:$H$200,'Master_Rules'!$D$4:$D$200,E67)))))</x:f>
      </x:c>
      <x:c r="U67" s="75" t="str">
        <x:f>IF($E67="","",T67*SUMIFS('Master_Rules'!$J$4:$J$200,'Master_Rules'!$D$4:$D$200,E67))</x:f>
      </x:c>
      <x:c r="V67" s="83" t="str">
        <x:f>IF($E67="","",IF(T67&gt;R67,"MOQ 조정",IF(K67="Y","필수품 확인","정상")))</x:f>
      </x:c>
    </x:row>
    <x:row r="68">
      <x:c r="A68" s="71"/>
      <x:c r="B68" s="71"/>
      <x:c r="C68" s="72"/>
      <x:c r="D68" s="72"/>
      <x:c r="E68" s="72"/>
      <x:c r="F68" s="72"/>
      <x:c r="G68" s="72"/>
      <x:c r="H68" s="81" t="str">
        <x:f>IF($E68="","",SUMIFS('Input_OL'!$K$4:$K$200,'Input_OL'!$C$4:$C$200,C68,'Input_OL'!$F$4:$F$200,B68))</x:f>
      </x:c>
      <x:c r="I68" s="81" t="str">
        <x:f>IF($E68="","",SUMIFS('Master_BOM'!$F$4:$F$200,'Master_BOM'!$A$4:$A$200,C68,'Master_BOM'!$C$4:$C$200,E68))</x:f>
      </x:c>
      <x:c r="J68" s="82" t="str">
        <x:f>IF($E68="","",SUMIFS('Master_BOM'!$G$4:$G$200,'Master_BOM'!$A$4:$A$200,C68,'Master_BOM'!$C$4:$C$200,E68))</x:f>
      </x:c>
      <x:c r="K68" s="83" t="str">
        <x:f>IF($E68="","",SUMIFS('Master_BOM'!$H$4:$H$200,'Master_BOM'!$A$4:$A$200,C68,'Master_BOM'!$C$4:$C$200,E68))</x:f>
      </x:c>
      <x:c r="L68" s="75" t="str">
        <x:f>IF($E68="","",IF(K68="Y",H68*I68,H68*I68*J68))</x:f>
      </x:c>
      <x:c r="M68" s="75" t="str">
        <x:f>IF($E68="","",IFERROR(SUMIFS('Master_BOM'!$J$4:$J$200,'Master_BOM'!$C$4:$C$200,E68),0))</x:f>
      </x:c>
      <x:c r="N68" s="75" t="str">
        <x:f>IF($E68="","",L68+M68)</x:f>
      </x:c>
      <x:c r="O68" s="75" t="str">
        <x:f>IF($E68="","",SUMIFS('Input_Inventory'!$G$4:$G$200,'Input_Inventory'!$C$4:$C$200,E68))</x:f>
      </x:c>
      <x:c r="P68" s="75" t="str">
        <x:f>IF($E68="","",SUMIFS('Input_Inventory'!$L$4:$L$200,'Input_Inventory'!$C$4:$C$200,E68,'Input_Inventory'!$F$4:$F$200,B68))</x:f>
      </x:c>
      <x:c r="Q68" s="75" t="str">
        <x:f>IF($E68="","",O68+P68)</x:f>
      </x:c>
      <x:c r="R68" s="75" t="str">
        <x:f>IF($E68="","",MAX(0,N68-Q68))</x:f>
      </x:c>
      <x:c r="S68" s="75" t="str">
        <x:f>IF($E68="","",SUMIFS('Master_Rules'!$G$4:$G$200,'Master_Rules'!$D$4:$D$200,E68))</x:f>
      </x:c>
      <x:c r="T68" s="75" t="str">
        <x:f>IF($E68="","",IF(S68=0,R68,MAX(S68,CEILING(R68,SUMIFS('Master_Rules'!$H$4:$H$200,'Master_Rules'!$D$4:$D$200,E68)))))</x:f>
      </x:c>
      <x:c r="U68" s="75" t="str">
        <x:f>IF($E68="","",T68*SUMIFS('Master_Rules'!$J$4:$J$200,'Master_Rules'!$D$4:$D$200,E68))</x:f>
      </x:c>
      <x:c r="V68" s="83" t="str">
        <x:f>IF($E68="","",IF(T68&gt;R68,"MOQ 조정",IF(K68="Y","필수품 확인","정상")))</x:f>
      </x:c>
    </x:row>
    <x:row r="69">
      <x:c r="A69" s="71"/>
      <x:c r="B69" s="71"/>
      <x:c r="C69" s="72"/>
      <x:c r="D69" s="72"/>
      <x:c r="E69" s="72"/>
      <x:c r="F69" s="72"/>
      <x:c r="G69" s="72"/>
      <x:c r="H69" s="81" t="str">
        <x:f>IF($E69="","",SUMIFS('Input_OL'!$K$4:$K$200,'Input_OL'!$C$4:$C$200,C69,'Input_OL'!$F$4:$F$200,B69))</x:f>
      </x:c>
      <x:c r="I69" s="81" t="str">
        <x:f>IF($E69="","",SUMIFS('Master_BOM'!$F$4:$F$200,'Master_BOM'!$A$4:$A$200,C69,'Master_BOM'!$C$4:$C$200,E69))</x:f>
      </x:c>
      <x:c r="J69" s="82" t="str">
        <x:f>IF($E69="","",SUMIFS('Master_BOM'!$G$4:$G$200,'Master_BOM'!$A$4:$A$200,C69,'Master_BOM'!$C$4:$C$200,E69))</x:f>
      </x:c>
      <x:c r="K69" s="83" t="str">
        <x:f>IF($E69="","",SUMIFS('Master_BOM'!$H$4:$H$200,'Master_BOM'!$A$4:$A$200,C69,'Master_BOM'!$C$4:$C$200,E69))</x:f>
      </x:c>
      <x:c r="L69" s="75" t="str">
        <x:f>IF($E69="","",IF(K69="Y",H69*I69,H69*I69*J69))</x:f>
      </x:c>
      <x:c r="M69" s="75" t="str">
        <x:f>IF($E69="","",IFERROR(SUMIFS('Master_BOM'!$J$4:$J$200,'Master_BOM'!$C$4:$C$200,E69),0))</x:f>
      </x:c>
      <x:c r="N69" s="75" t="str">
        <x:f>IF($E69="","",L69+M69)</x:f>
      </x:c>
      <x:c r="O69" s="75" t="str">
        <x:f>IF($E69="","",SUMIFS('Input_Inventory'!$G$4:$G$200,'Input_Inventory'!$C$4:$C$200,E69))</x:f>
      </x:c>
      <x:c r="P69" s="75" t="str">
        <x:f>IF($E69="","",SUMIFS('Input_Inventory'!$L$4:$L$200,'Input_Inventory'!$C$4:$C$200,E69,'Input_Inventory'!$F$4:$F$200,B69))</x:f>
      </x:c>
      <x:c r="Q69" s="75" t="str">
        <x:f>IF($E69="","",O69+P69)</x:f>
      </x:c>
      <x:c r="R69" s="75" t="str">
        <x:f>IF($E69="","",MAX(0,N69-Q69))</x:f>
      </x:c>
      <x:c r="S69" s="75" t="str">
        <x:f>IF($E69="","",SUMIFS('Master_Rules'!$G$4:$G$200,'Master_Rules'!$D$4:$D$200,E69))</x:f>
      </x:c>
      <x:c r="T69" s="75" t="str">
        <x:f>IF($E69="","",IF(S69=0,R69,MAX(S69,CEILING(R69,SUMIFS('Master_Rules'!$H$4:$H$200,'Master_Rules'!$D$4:$D$200,E69)))))</x:f>
      </x:c>
      <x:c r="U69" s="75" t="str">
        <x:f>IF($E69="","",T69*SUMIFS('Master_Rules'!$J$4:$J$200,'Master_Rules'!$D$4:$D$200,E69))</x:f>
      </x:c>
      <x:c r="V69" s="83" t="str">
        <x:f>IF($E69="","",IF(T69&gt;R69,"MOQ 조정",IF(K69="Y","필수품 확인","정상")))</x:f>
      </x:c>
    </x:row>
    <x:row r="70">
      <x:c r="A70" s="71"/>
      <x:c r="B70" s="71"/>
      <x:c r="C70" s="72"/>
      <x:c r="D70" s="72"/>
      <x:c r="E70" s="72"/>
      <x:c r="F70" s="72"/>
      <x:c r="G70" s="72"/>
      <x:c r="H70" s="81" t="str">
        <x:f>IF($E70="","",SUMIFS('Input_OL'!$K$4:$K$200,'Input_OL'!$C$4:$C$200,C70,'Input_OL'!$F$4:$F$200,B70))</x:f>
      </x:c>
      <x:c r="I70" s="81" t="str">
        <x:f>IF($E70="","",SUMIFS('Master_BOM'!$F$4:$F$200,'Master_BOM'!$A$4:$A$200,C70,'Master_BOM'!$C$4:$C$200,E70))</x:f>
      </x:c>
      <x:c r="J70" s="82" t="str">
        <x:f>IF($E70="","",SUMIFS('Master_BOM'!$G$4:$G$200,'Master_BOM'!$A$4:$A$200,C70,'Master_BOM'!$C$4:$C$200,E70))</x:f>
      </x:c>
      <x:c r="K70" s="83" t="str">
        <x:f>IF($E70="","",SUMIFS('Master_BOM'!$H$4:$H$200,'Master_BOM'!$A$4:$A$200,C70,'Master_BOM'!$C$4:$C$200,E70))</x:f>
      </x:c>
      <x:c r="L70" s="75" t="str">
        <x:f>IF($E70="","",IF(K70="Y",H70*I70,H70*I70*J70))</x:f>
      </x:c>
      <x:c r="M70" s="75" t="str">
        <x:f>IF($E70="","",IFERROR(SUMIFS('Master_BOM'!$J$4:$J$200,'Master_BOM'!$C$4:$C$200,E70),0))</x:f>
      </x:c>
      <x:c r="N70" s="75" t="str">
        <x:f>IF($E70="","",L70+M70)</x:f>
      </x:c>
      <x:c r="O70" s="75" t="str">
        <x:f>IF($E70="","",SUMIFS('Input_Inventory'!$G$4:$G$200,'Input_Inventory'!$C$4:$C$200,E70))</x:f>
      </x:c>
      <x:c r="P70" s="75" t="str">
        <x:f>IF($E70="","",SUMIFS('Input_Inventory'!$L$4:$L$200,'Input_Inventory'!$C$4:$C$200,E70,'Input_Inventory'!$F$4:$F$200,B70))</x:f>
      </x:c>
      <x:c r="Q70" s="75" t="str">
        <x:f>IF($E70="","",O70+P70)</x:f>
      </x:c>
      <x:c r="R70" s="75" t="str">
        <x:f>IF($E70="","",MAX(0,N70-Q70))</x:f>
      </x:c>
      <x:c r="S70" s="75" t="str">
        <x:f>IF($E70="","",SUMIFS('Master_Rules'!$G$4:$G$200,'Master_Rules'!$D$4:$D$200,E70))</x:f>
      </x:c>
      <x:c r="T70" s="75" t="str">
        <x:f>IF($E70="","",IF(S70=0,R70,MAX(S70,CEILING(R70,SUMIFS('Master_Rules'!$H$4:$H$200,'Master_Rules'!$D$4:$D$200,E70)))))</x:f>
      </x:c>
      <x:c r="U70" s="75" t="str">
        <x:f>IF($E70="","",T70*SUMIFS('Master_Rules'!$J$4:$J$200,'Master_Rules'!$D$4:$D$200,E70))</x:f>
      </x:c>
      <x:c r="V70" s="83" t="str">
        <x:f>IF($E70="","",IF(T70&gt;R70,"MOQ 조정",IF(K70="Y","필수품 확인","정상")))</x:f>
      </x:c>
    </x:row>
    <x:row r="71">
      <x:c r="A71" s="71"/>
      <x:c r="B71" s="71"/>
      <x:c r="C71" s="72"/>
      <x:c r="D71" s="72"/>
      <x:c r="E71" s="72"/>
      <x:c r="F71" s="72"/>
      <x:c r="G71" s="72"/>
      <x:c r="H71" s="81" t="str">
        <x:f>IF($E71="","",SUMIFS('Input_OL'!$K$4:$K$200,'Input_OL'!$C$4:$C$200,C71,'Input_OL'!$F$4:$F$200,B71))</x:f>
      </x:c>
      <x:c r="I71" s="81" t="str">
        <x:f>IF($E71="","",SUMIFS('Master_BOM'!$F$4:$F$200,'Master_BOM'!$A$4:$A$200,C71,'Master_BOM'!$C$4:$C$200,E71))</x:f>
      </x:c>
      <x:c r="J71" s="82" t="str">
        <x:f>IF($E71="","",SUMIFS('Master_BOM'!$G$4:$G$200,'Master_BOM'!$A$4:$A$200,C71,'Master_BOM'!$C$4:$C$200,E71))</x:f>
      </x:c>
      <x:c r="K71" s="83" t="str">
        <x:f>IF($E71="","",SUMIFS('Master_BOM'!$H$4:$H$200,'Master_BOM'!$A$4:$A$200,C71,'Master_BOM'!$C$4:$C$200,E71))</x:f>
      </x:c>
      <x:c r="L71" s="75" t="str">
        <x:f>IF($E71="","",IF(K71="Y",H71*I71,H71*I71*J71))</x:f>
      </x:c>
      <x:c r="M71" s="75" t="str">
        <x:f>IF($E71="","",IFERROR(SUMIFS('Master_BOM'!$J$4:$J$200,'Master_BOM'!$C$4:$C$200,E71),0))</x:f>
      </x:c>
      <x:c r="N71" s="75" t="str">
        <x:f>IF($E71="","",L71+M71)</x:f>
      </x:c>
      <x:c r="O71" s="75" t="str">
        <x:f>IF($E71="","",SUMIFS('Input_Inventory'!$G$4:$G$200,'Input_Inventory'!$C$4:$C$200,E71))</x:f>
      </x:c>
      <x:c r="P71" s="75" t="str">
        <x:f>IF($E71="","",SUMIFS('Input_Inventory'!$L$4:$L$200,'Input_Inventory'!$C$4:$C$200,E71,'Input_Inventory'!$F$4:$F$200,B71))</x:f>
      </x:c>
      <x:c r="Q71" s="75" t="str">
        <x:f>IF($E71="","",O71+P71)</x:f>
      </x:c>
      <x:c r="R71" s="75" t="str">
        <x:f>IF($E71="","",MAX(0,N71-Q71))</x:f>
      </x:c>
      <x:c r="S71" s="75" t="str">
        <x:f>IF($E71="","",SUMIFS('Master_Rules'!$G$4:$G$200,'Master_Rules'!$D$4:$D$200,E71))</x:f>
      </x:c>
      <x:c r="T71" s="75" t="str">
        <x:f>IF($E71="","",IF(S71=0,R71,MAX(S71,CEILING(R71,SUMIFS('Master_Rules'!$H$4:$H$200,'Master_Rules'!$D$4:$D$200,E71)))))</x:f>
      </x:c>
      <x:c r="U71" s="75" t="str">
        <x:f>IF($E71="","",T71*SUMIFS('Master_Rules'!$J$4:$J$200,'Master_Rules'!$D$4:$D$200,E71))</x:f>
      </x:c>
      <x:c r="V71" s="83" t="str">
        <x:f>IF($E71="","",IF(T71&gt;R71,"MOQ 조정",IF(K71="Y","필수품 확인","정상")))</x:f>
      </x:c>
    </x:row>
    <x:row r="72">
      <x:c r="A72" s="71"/>
      <x:c r="B72" s="71"/>
      <x:c r="C72" s="72"/>
      <x:c r="D72" s="72"/>
      <x:c r="E72" s="72"/>
      <x:c r="F72" s="72"/>
      <x:c r="G72" s="72"/>
      <x:c r="H72" s="81" t="str">
        <x:f>IF($E72="","",SUMIFS('Input_OL'!$K$4:$K$200,'Input_OL'!$C$4:$C$200,C72,'Input_OL'!$F$4:$F$200,B72))</x:f>
      </x:c>
      <x:c r="I72" s="81" t="str">
        <x:f>IF($E72="","",SUMIFS('Master_BOM'!$F$4:$F$200,'Master_BOM'!$A$4:$A$200,C72,'Master_BOM'!$C$4:$C$200,E72))</x:f>
      </x:c>
      <x:c r="J72" s="82" t="str">
        <x:f>IF($E72="","",SUMIFS('Master_BOM'!$G$4:$G$200,'Master_BOM'!$A$4:$A$200,C72,'Master_BOM'!$C$4:$C$200,E72))</x:f>
      </x:c>
      <x:c r="K72" s="83" t="str">
        <x:f>IF($E72="","",SUMIFS('Master_BOM'!$H$4:$H$200,'Master_BOM'!$A$4:$A$200,C72,'Master_BOM'!$C$4:$C$200,E72))</x:f>
      </x:c>
      <x:c r="L72" s="75" t="str">
        <x:f>IF($E72="","",IF(K72="Y",H72*I72,H72*I72*J72))</x:f>
      </x:c>
      <x:c r="M72" s="75" t="str">
        <x:f>IF($E72="","",IFERROR(SUMIFS('Master_BOM'!$J$4:$J$200,'Master_BOM'!$C$4:$C$200,E72),0))</x:f>
      </x:c>
      <x:c r="N72" s="75" t="str">
        <x:f>IF($E72="","",L72+M72)</x:f>
      </x:c>
      <x:c r="O72" s="75" t="str">
        <x:f>IF($E72="","",SUMIFS('Input_Inventory'!$G$4:$G$200,'Input_Inventory'!$C$4:$C$200,E72))</x:f>
      </x:c>
      <x:c r="P72" s="75" t="str">
        <x:f>IF($E72="","",SUMIFS('Input_Inventory'!$L$4:$L$200,'Input_Inventory'!$C$4:$C$200,E72,'Input_Inventory'!$F$4:$F$200,B72))</x:f>
      </x:c>
      <x:c r="Q72" s="75" t="str">
        <x:f>IF($E72="","",O72+P72)</x:f>
      </x:c>
      <x:c r="R72" s="75" t="str">
        <x:f>IF($E72="","",MAX(0,N72-Q72))</x:f>
      </x:c>
      <x:c r="S72" s="75" t="str">
        <x:f>IF($E72="","",SUMIFS('Master_Rules'!$G$4:$G$200,'Master_Rules'!$D$4:$D$200,E72))</x:f>
      </x:c>
      <x:c r="T72" s="75" t="str">
        <x:f>IF($E72="","",IF(S72=0,R72,MAX(S72,CEILING(R72,SUMIFS('Master_Rules'!$H$4:$H$200,'Master_Rules'!$D$4:$D$200,E72)))))</x:f>
      </x:c>
      <x:c r="U72" s="75" t="str">
        <x:f>IF($E72="","",T72*SUMIFS('Master_Rules'!$J$4:$J$200,'Master_Rules'!$D$4:$D$200,E72))</x:f>
      </x:c>
      <x:c r="V72" s="83" t="str">
        <x:f>IF($E72="","",IF(T72&gt;R72,"MOQ 조정",IF(K72="Y","필수품 확인","정상")))</x:f>
      </x:c>
    </x:row>
    <x:row r="73">
      <x:c r="A73" s="71"/>
      <x:c r="B73" s="71"/>
      <x:c r="C73" s="72"/>
      <x:c r="D73" s="72"/>
      <x:c r="E73" s="72"/>
      <x:c r="F73" s="72"/>
      <x:c r="G73" s="72"/>
      <x:c r="H73" s="81" t="str">
        <x:f>IF($E73="","",SUMIFS('Input_OL'!$K$4:$K$200,'Input_OL'!$C$4:$C$200,C73,'Input_OL'!$F$4:$F$200,B73))</x:f>
      </x:c>
      <x:c r="I73" s="81" t="str">
        <x:f>IF($E73="","",SUMIFS('Master_BOM'!$F$4:$F$200,'Master_BOM'!$A$4:$A$200,C73,'Master_BOM'!$C$4:$C$200,E73))</x:f>
      </x:c>
      <x:c r="J73" s="82" t="str">
        <x:f>IF($E73="","",SUMIFS('Master_BOM'!$G$4:$G$200,'Master_BOM'!$A$4:$A$200,C73,'Master_BOM'!$C$4:$C$200,E73))</x:f>
      </x:c>
      <x:c r="K73" s="83" t="str">
        <x:f>IF($E73="","",SUMIFS('Master_BOM'!$H$4:$H$200,'Master_BOM'!$A$4:$A$200,C73,'Master_BOM'!$C$4:$C$200,E73))</x:f>
      </x:c>
      <x:c r="L73" s="75" t="str">
        <x:f>IF($E73="","",IF(K73="Y",H73*I73,H73*I73*J73))</x:f>
      </x:c>
      <x:c r="M73" s="75" t="str">
        <x:f>IF($E73="","",IFERROR(SUMIFS('Master_BOM'!$J$4:$J$200,'Master_BOM'!$C$4:$C$200,E73),0))</x:f>
      </x:c>
      <x:c r="N73" s="75" t="str">
        <x:f>IF($E73="","",L73+M73)</x:f>
      </x:c>
      <x:c r="O73" s="75" t="str">
        <x:f>IF($E73="","",SUMIFS('Input_Inventory'!$G$4:$G$200,'Input_Inventory'!$C$4:$C$200,E73))</x:f>
      </x:c>
      <x:c r="P73" s="75" t="str">
        <x:f>IF($E73="","",SUMIFS('Input_Inventory'!$L$4:$L$200,'Input_Inventory'!$C$4:$C$200,E73,'Input_Inventory'!$F$4:$F$200,B73))</x:f>
      </x:c>
      <x:c r="Q73" s="75" t="str">
        <x:f>IF($E73="","",O73+P73)</x:f>
      </x:c>
      <x:c r="R73" s="75" t="str">
        <x:f>IF($E73="","",MAX(0,N73-Q73))</x:f>
      </x:c>
      <x:c r="S73" s="75" t="str">
        <x:f>IF($E73="","",SUMIFS('Master_Rules'!$G$4:$G$200,'Master_Rules'!$D$4:$D$200,E73))</x:f>
      </x:c>
      <x:c r="T73" s="75" t="str">
        <x:f>IF($E73="","",IF(S73=0,R73,MAX(S73,CEILING(R73,SUMIFS('Master_Rules'!$H$4:$H$200,'Master_Rules'!$D$4:$D$200,E73)))))</x:f>
      </x:c>
      <x:c r="U73" s="75" t="str">
        <x:f>IF($E73="","",T73*SUMIFS('Master_Rules'!$J$4:$J$200,'Master_Rules'!$D$4:$D$200,E73))</x:f>
      </x:c>
      <x:c r="V73" s="83" t="str">
        <x:f>IF($E73="","",IF(T73&gt;R73,"MOQ 조정",IF(K73="Y","필수품 확인","정상")))</x:f>
      </x:c>
    </x:row>
    <x:row r="74">
      <x:c r="A74" s="71"/>
      <x:c r="B74" s="71"/>
      <x:c r="C74" s="72"/>
      <x:c r="D74" s="72"/>
      <x:c r="E74" s="72"/>
      <x:c r="F74" s="72"/>
      <x:c r="G74" s="72"/>
      <x:c r="H74" s="81" t="str">
        <x:f>IF($E74="","",SUMIFS('Input_OL'!$K$4:$K$200,'Input_OL'!$C$4:$C$200,C74,'Input_OL'!$F$4:$F$200,B74))</x:f>
      </x:c>
      <x:c r="I74" s="81" t="str">
        <x:f>IF($E74="","",SUMIFS('Master_BOM'!$F$4:$F$200,'Master_BOM'!$A$4:$A$200,C74,'Master_BOM'!$C$4:$C$200,E74))</x:f>
      </x:c>
      <x:c r="J74" s="82" t="str">
        <x:f>IF($E74="","",SUMIFS('Master_BOM'!$G$4:$G$200,'Master_BOM'!$A$4:$A$200,C74,'Master_BOM'!$C$4:$C$200,E74))</x:f>
      </x:c>
      <x:c r="K74" s="83" t="str">
        <x:f>IF($E74="","",SUMIFS('Master_BOM'!$H$4:$H$200,'Master_BOM'!$A$4:$A$200,C74,'Master_BOM'!$C$4:$C$200,E74))</x:f>
      </x:c>
      <x:c r="L74" s="75" t="str">
        <x:f>IF($E74="","",IF(K74="Y",H74*I74,H74*I74*J74))</x:f>
      </x:c>
      <x:c r="M74" s="75" t="str">
        <x:f>IF($E74="","",IFERROR(SUMIFS('Master_BOM'!$J$4:$J$200,'Master_BOM'!$C$4:$C$200,E74),0))</x:f>
      </x:c>
      <x:c r="N74" s="75" t="str">
        <x:f>IF($E74="","",L74+M74)</x:f>
      </x:c>
      <x:c r="O74" s="75" t="str">
        <x:f>IF($E74="","",SUMIFS('Input_Inventory'!$G$4:$G$200,'Input_Inventory'!$C$4:$C$200,E74))</x:f>
      </x:c>
      <x:c r="P74" s="75" t="str">
        <x:f>IF($E74="","",SUMIFS('Input_Inventory'!$L$4:$L$200,'Input_Inventory'!$C$4:$C$200,E74,'Input_Inventory'!$F$4:$F$200,B74))</x:f>
      </x:c>
      <x:c r="Q74" s="75" t="str">
        <x:f>IF($E74="","",O74+P74)</x:f>
      </x:c>
      <x:c r="R74" s="75" t="str">
        <x:f>IF($E74="","",MAX(0,N74-Q74))</x:f>
      </x:c>
      <x:c r="S74" s="75" t="str">
        <x:f>IF($E74="","",SUMIFS('Master_Rules'!$G$4:$G$200,'Master_Rules'!$D$4:$D$200,E74))</x:f>
      </x:c>
      <x:c r="T74" s="75" t="str">
        <x:f>IF($E74="","",IF(S74=0,R74,MAX(S74,CEILING(R74,SUMIFS('Master_Rules'!$H$4:$H$200,'Master_Rules'!$D$4:$D$200,E74)))))</x:f>
      </x:c>
      <x:c r="U74" s="75" t="str">
        <x:f>IF($E74="","",T74*SUMIFS('Master_Rules'!$J$4:$J$200,'Master_Rules'!$D$4:$D$200,E74))</x:f>
      </x:c>
      <x:c r="V74" s="83" t="str">
        <x:f>IF($E74="","",IF(T74&gt;R74,"MOQ 조정",IF(K74="Y","필수품 확인","정상")))</x:f>
      </x:c>
    </x:row>
    <x:row r="75">
      <x:c r="A75" s="71"/>
      <x:c r="B75" s="71"/>
      <x:c r="C75" s="72"/>
      <x:c r="D75" s="72"/>
      <x:c r="E75" s="72"/>
      <x:c r="F75" s="72"/>
      <x:c r="G75" s="72"/>
      <x:c r="H75" s="81" t="str">
        <x:f>IF($E75="","",SUMIFS('Input_OL'!$K$4:$K$200,'Input_OL'!$C$4:$C$200,C75,'Input_OL'!$F$4:$F$200,B75))</x:f>
      </x:c>
      <x:c r="I75" s="81" t="str">
        <x:f>IF($E75="","",SUMIFS('Master_BOM'!$F$4:$F$200,'Master_BOM'!$A$4:$A$200,C75,'Master_BOM'!$C$4:$C$200,E75))</x:f>
      </x:c>
      <x:c r="J75" s="82" t="str">
        <x:f>IF($E75="","",SUMIFS('Master_BOM'!$G$4:$G$200,'Master_BOM'!$A$4:$A$200,C75,'Master_BOM'!$C$4:$C$200,E75))</x:f>
      </x:c>
      <x:c r="K75" s="83" t="str">
        <x:f>IF($E75="","",SUMIFS('Master_BOM'!$H$4:$H$200,'Master_BOM'!$A$4:$A$200,C75,'Master_BOM'!$C$4:$C$200,E75))</x:f>
      </x:c>
      <x:c r="L75" s="75" t="str">
        <x:f>IF($E75="","",IF(K75="Y",H75*I75,H75*I75*J75))</x:f>
      </x:c>
      <x:c r="M75" s="75" t="str">
        <x:f>IF($E75="","",IFERROR(SUMIFS('Master_BOM'!$J$4:$J$200,'Master_BOM'!$C$4:$C$200,E75),0))</x:f>
      </x:c>
      <x:c r="N75" s="75" t="str">
        <x:f>IF($E75="","",L75+M75)</x:f>
      </x:c>
      <x:c r="O75" s="75" t="str">
        <x:f>IF($E75="","",SUMIFS('Input_Inventory'!$G$4:$G$200,'Input_Inventory'!$C$4:$C$200,E75))</x:f>
      </x:c>
      <x:c r="P75" s="75" t="str">
        <x:f>IF($E75="","",SUMIFS('Input_Inventory'!$L$4:$L$200,'Input_Inventory'!$C$4:$C$200,E75,'Input_Inventory'!$F$4:$F$200,B75))</x:f>
      </x:c>
      <x:c r="Q75" s="75" t="str">
        <x:f>IF($E75="","",O75+P75)</x:f>
      </x:c>
      <x:c r="R75" s="75" t="str">
        <x:f>IF($E75="","",MAX(0,N75-Q75))</x:f>
      </x:c>
      <x:c r="S75" s="75" t="str">
        <x:f>IF($E75="","",SUMIFS('Master_Rules'!$G$4:$G$200,'Master_Rules'!$D$4:$D$200,E75))</x:f>
      </x:c>
      <x:c r="T75" s="75" t="str">
        <x:f>IF($E75="","",IF(S75=0,R75,MAX(S75,CEILING(R75,SUMIFS('Master_Rules'!$H$4:$H$200,'Master_Rules'!$D$4:$D$200,E75)))))</x:f>
      </x:c>
      <x:c r="U75" s="75" t="str">
        <x:f>IF($E75="","",T75*SUMIFS('Master_Rules'!$J$4:$J$200,'Master_Rules'!$D$4:$D$200,E75))</x:f>
      </x:c>
      <x:c r="V75" s="83" t="str">
        <x:f>IF($E75="","",IF(T75&gt;R75,"MOQ 조정",IF(K75="Y","필수품 확인","정상")))</x:f>
      </x:c>
    </x:row>
    <x:row r="76">
      <x:c r="A76" s="71"/>
      <x:c r="B76" s="71"/>
      <x:c r="C76" s="72"/>
      <x:c r="D76" s="72"/>
      <x:c r="E76" s="72"/>
      <x:c r="F76" s="72"/>
      <x:c r="G76" s="72"/>
      <x:c r="H76" s="81" t="str">
        <x:f>IF($E76="","",SUMIFS('Input_OL'!$K$4:$K$200,'Input_OL'!$C$4:$C$200,C76,'Input_OL'!$F$4:$F$200,B76))</x:f>
      </x:c>
      <x:c r="I76" s="81" t="str">
        <x:f>IF($E76="","",SUMIFS('Master_BOM'!$F$4:$F$200,'Master_BOM'!$A$4:$A$200,C76,'Master_BOM'!$C$4:$C$200,E76))</x:f>
      </x:c>
      <x:c r="J76" s="82" t="str">
        <x:f>IF($E76="","",SUMIFS('Master_BOM'!$G$4:$G$200,'Master_BOM'!$A$4:$A$200,C76,'Master_BOM'!$C$4:$C$200,E76))</x:f>
      </x:c>
      <x:c r="K76" s="83" t="str">
        <x:f>IF($E76="","",SUMIFS('Master_BOM'!$H$4:$H$200,'Master_BOM'!$A$4:$A$200,C76,'Master_BOM'!$C$4:$C$200,E76))</x:f>
      </x:c>
      <x:c r="L76" s="75" t="str">
        <x:f>IF($E76="","",IF(K76="Y",H76*I76,H76*I76*J76))</x:f>
      </x:c>
      <x:c r="M76" s="75" t="str">
        <x:f>IF($E76="","",IFERROR(SUMIFS('Master_BOM'!$J$4:$J$200,'Master_BOM'!$C$4:$C$200,E76),0))</x:f>
      </x:c>
      <x:c r="N76" s="75" t="str">
        <x:f>IF($E76="","",L76+M76)</x:f>
      </x:c>
      <x:c r="O76" s="75" t="str">
        <x:f>IF($E76="","",SUMIFS('Input_Inventory'!$G$4:$G$200,'Input_Inventory'!$C$4:$C$200,E76))</x:f>
      </x:c>
      <x:c r="P76" s="75" t="str">
        <x:f>IF($E76="","",SUMIFS('Input_Inventory'!$L$4:$L$200,'Input_Inventory'!$C$4:$C$200,E76,'Input_Inventory'!$F$4:$F$200,B76))</x:f>
      </x:c>
      <x:c r="Q76" s="75" t="str">
        <x:f>IF($E76="","",O76+P76)</x:f>
      </x:c>
      <x:c r="R76" s="75" t="str">
        <x:f>IF($E76="","",MAX(0,N76-Q76))</x:f>
      </x:c>
      <x:c r="S76" s="75" t="str">
        <x:f>IF($E76="","",SUMIFS('Master_Rules'!$G$4:$G$200,'Master_Rules'!$D$4:$D$200,E76))</x:f>
      </x:c>
      <x:c r="T76" s="75" t="str">
        <x:f>IF($E76="","",IF(S76=0,R76,MAX(S76,CEILING(R76,SUMIFS('Master_Rules'!$H$4:$H$200,'Master_Rules'!$D$4:$D$200,E76)))))</x:f>
      </x:c>
      <x:c r="U76" s="75" t="str">
        <x:f>IF($E76="","",T76*SUMIFS('Master_Rules'!$J$4:$J$200,'Master_Rules'!$D$4:$D$200,E76))</x:f>
      </x:c>
      <x:c r="V76" s="83" t="str">
        <x:f>IF($E76="","",IF(T76&gt;R76,"MOQ 조정",IF(K76="Y","필수품 확인","정상")))</x:f>
      </x:c>
    </x:row>
    <x:row r="77">
      <x:c r="A77" s="71"/>
      <x:c r="B77" s="71"/>
      <x:c r="C77" s="72"/>
      <x:c r="D77" s="72"/>
      <x:c r="E77" s="72"/>
      <x:c r="F77" s="72"/>
      <x:c r="G77" s="72"/>
      <x:c r="H77" s="81" t="str">
        <x:f>IF($E77="","",SUMIFS('Input_OL'!$K$4:$K$200,'Input_OL'!$C$4:$C$200,C77,'Input_OL'!$F$4:$F$200,B77))</x:f>
      </x:c>
      <x:c r="I77" s="81" t="str">
        <x:f>IF($E77="","",SUMIFS('Master_BOM'!$F$4:$F$200,'Master_BOM'!$A$4:$A$200,C77,'Master_BOM'!$C$4:$C$200,E77))</x:f>
      </x:c>
      <x:c r="J77" s="82" t="str">
        <x:f>IF($E77="","",SUMIFS('Master_BOM'!$G$4:$G$200,'Master_BOM'!$A$4:$A$200,C77,'Master_BOM'!$C$4:$C$200,E77))</x:f>
      </x:c>
      <x:c r="K77" s="83" t="str">
        <x:f>IF($E77="","",SUMIFS('Master_BOM'!$H$4:$H$200,'Master_BOM'!$A$4:$A$200,C77,'Master_BOM'!$C$4:$C$200,E77))</x:f>
      </x:c>
      <x:c r="L77" s="75" t="str">
        <x:f>IF($E77="","",IF(K77="Y",H77*I77,H77*I77*J77))</x:f>
      </x:c>
      <x:c r="M77" s="75" t="str">
        <x:f>IF($E77="","",IFERROR(SUMIFS('Master_BOM'!$J$4:$J$200,'Master_BOM'!$C$4:$C$200,E77),0))</x:f>
      </x:c>
      <x:c r="N77" s="75" t="str">
        <x:f>IF($E77="","",L77+M77)</x:f>
      </x:c>
      <x:c r="O77" s="75" t="str">
        <x:f>IF($E77="","",SUMIFS('Input_Inventory'!$G$4:$G$200,'Input_Inventory'!$C$4:$C$200,E77))</x:f>
      </x:c>
      <x:c r="P77" s="75" t="str">
        <x:f>IF($E77="","",SUMIFS('Input_Inventory'!$L$4:$L$200,'Input_Inventory'!$C$4:$C$200,E77,'Input_Inventory'!$F$4:$F$200,B77))</x:f>
      </x:c>
      <x:c r="Q77" s="75" t="str">
        <x:f>IF($E77="","",O77+P77)</x:f>
      </x:c>
      <x:c r="R77" s="75" t="str">
        <x:f>IF($E77="","",MAX(0,N77-Q77))</x:f>
      </x:c>
      <x:c r="S77" s="75" t="str">
        <x:f>IF($E77="","",SUMIFS('Master_Rules'!$G$4:$G$200,'Master_Rules'!$D$4:$D$200,E77))</x:f>
      </x:c>
      <x:c r="T77" s="75" t="str">
        <x:f>IF($E77="","",IF(S77=0,R77,MAX(S77,CEILING(R77,SUMIFS('Master_Rules'!$H$4:$H$200,'Master_Rules'!$D$4:$D$200,E77)))))</x:f>
      </x:c>
      <x:c r="U77" s="75" t="str">
        <x:f>IF($E77="","",T77*SUMIFS('Master_Rules'!$J$4:$J$200,'Master_Rules'!$D$4:$D$200,E77))</x:f>
      </x:c>
      <x:c r="V77" s="83" t="str">
        <x:f>IF($E77="","",IF(T77&gt;R77,"MOQ 조정",IF(K77="Y","필수품 확인","정상")))</x:f>
      </x:c>
    </x:row>
    <x:row r="78">
      <x:c r="A78" s="71"/>
      <x:c r="B78" s="71"/>
      <x:c r="C78" s="72"/>
      <x:c r="D78" s="72"/>
      <x:c r="E78" s="72"/>
      <x:c r="F78" s="72"/>
      <x:c r="G78" s="72"/>
      <x:c r="H78" s="81" t="str">
        <x:f>IF($E78="","",SUMIFS('Input_OL'!$K$4:$K$200,'Input_OL'!$C$4:$C$200,C78,'Input_OL'!$F$4:$F$200,B78))</x:f>
      </x:c>
      <x:c r="I78" s="81" t="str">
        <x:f>IF($E78="","",SUMIFS('Master_BOM'!$F$4:$F$200,'Master_BOM'!$A$4:$A$200,C78,'Master_BOM'!$C$4:$C$200,E78))</x:f>
      </x:c>
      <x:c r="J78" s="82" t="str">
        <x:f>IF($E78="","",SUMIFS('Master_BOM'!$G$4:$G$200,'Master_BOM'!$A$4:$A$200,C78,'Master_BOM'!$C$4:$C$200,E78))</x:f>
      </x:c>
      <x:c r="K78" s="83" t="str">
        <x:f>IF($E78="","",SUMIFS('Master_BOM'!$H$4:$H$200,'Master_BOM'!$A$4:$A$200,C78,'Master_BOM'!$C$4:$C$200,E78))</x:f>
      </x:c>
      <x:c r="L78" s="75" t="str">
        <x:f>IF($E78="","",IF(K78="Y",H78*I78,H78*I78*J78))</x:f>
      </x:c>
      <x:c r="M78" s="75" t="str">
        <x:f>IF($E78="","",IFERROR(SUMIFS('Master_BOM'!$J$4:$J$200,'Master_BOM'!$C$4:$C$200,E78),0))</x:f>
      </x:c>
      <x:c r="N78" s="75" t="str">
        <x:f>IF($E78="","",L78+M78)</x:f>
      </x:c>
      <x:c r="O78" s="75" t="str">
        <x:f>IF($E78="","",SUMIFS('Input_Inventory'!$G$4:$G$200,'Input_Inventory'!$C$4:$C$200,E78))</x:f>
      </x:c>
      <x:c r="P78" s="75" t="str">
        <x:f>IF($E78="","",SUMIFS('Input_Inventory'!$L$4:$L$200,'Input_Inventory'!$C$4:$C$200,E78,'Input_Inventory'!$F$4:$F$200,B78))</x:f>
      </x:c>
      <x:c r="Q78" s="75" t="str">
        <x:f>IF($E78="","",O78+P78)</x:f>
      </x:c>
      <x:c r="R78" s="75" t="str">
        <x:f>IF($E78="","",MAX(0,N78-Q78))</x:f>
      </x:c>
      <x:c r="S78" s="75" t="str">
        <x:f>IF($E78="","",SUMIFS('Master_Rules'!$G$4:$G$200,'Master_Rules'!$D$4:$D$200,E78))</x:f>
      </x:c>
      <x:c r="T78" s="75" t="str">
        <x:f>IF($E78="","",IF(S78=0,R78,MAX(S78,CEILING(R78,SUMIFS('Master_Rules'!$H$4:$H$200,'Master_Rules'!$D$4:$D$200,E78)))))</x:f>
      </x:c>
      <x:c r="U78" s="75" t="str">
        <x:f>IF($E78="","",T78*SUMIFS('Master_Rules'!$J$4:$J$200,'Master_Rules'!$D$4:$D$200,E78))</x:f>
      </x:c>
      <x:c r="V78" s="83" t="str">
        <x:f>IF($E78="","",IF(T78&gt;R78,"MOQ 조정",IF(K78="Y","필수품 확인","정상")))</x:f>
      </x:c>
    </x:row>
    <x:row r="79">
      <x:c r="A79" s="71"/>
      <x:c r="B79" s="71"/>
      <x:c r="C79" s="72"/>
      <x:c r="D79" s="72"/>
      <x:c r="E79" s="72"/>
      <x:c r="F79" s="72"/>
      <x:c r="G79" s="72"/>
      <x:c r="H79" s="81" t="str">
        <x:f>IF($E79="","",SUMIFS('Input_OL'!$K$4:$K$200,'Input_OL'!$C$4:$C$200,C79,'Input_OL'!$F$4:$F$200,B79))</x:f>
      </x:c>
      <x:c r="I79" s="81" t="str">
        <x:f>IF($E79="","",SUMIFS('Master_BOM'!$F$4:$F$200,'Master_BOM'!$A$4:$A$200,C79,'Master_BOM'!$C$4:$C$200,E79))</x:f>
      </x:c>
      <x:c r="J79" s="82" t="str">
        <x:f>IF($E79="","",SUMIFS('Master_BOM'!$G$4:$G$200,'Master_BOM'!$A$4:$A$200,C79,'Master_BOM'!$C$4:$C$200,E79))</x:f>
      </x:c>
      <x:c r="K79" s="83" t="str">
        <x:f>IF($E79="","",SUMIFS('Master_BOM'!$H$4:$H$200,'Master_BOM'!$A$4:$A$200,C79,'Master_BOM'!$C$4:$C$200,E79))</x:f>
      </x:c>
      <x:c r="L79" s="75" t="str">
        <x:f>IF($E79="","",IF(K79="Y",H79*I79,H79*I79*J79))</x:f>
      </x:c>
      <x:c r="M79" s="75" t="str">
        <x:f>IF($E79="","",IFERROR(SUMIFS('Master_BOM'!$J$4:$J$200,'Master_BOM'!$C$4:$C$200,E79),0))</x:f>
      </x:c>
      <x:c r="N79" s="75" t="str">
        <x:f>IF($E79="","",L79+M79)</x:f>
      </x:c>
      <x:c r="O79" s="75" t="str">
        <x:f>IF($E79="","",SUMIFS('Input_Inventory'!$G$4:$G$200,'Input_Inventory'!$C$4:$C$200,E79))</x:f>
      </x:c>
      <x:c r="P79" s="75" t="str">
        <x:f>IF($E79="","",SUMIFS('Input_Inventory'!$L$4:$L$200,'Input_Inventory'!$C$4:$C$200,E79,'Input_Inventory'!$F$4:$F$200,B79))</x:f>
      </x:c>
      <x:c r="Q79" s="75" t="str">
        <x:f>IF($E79="","",O79+P79)</x:f>
      </x:c>
      <x:c r="R79" s="75" t="str">
        <x:f>IF($E79="","",MAX(0,N79-Q79))</x:f>
      </x:c>
      <x:c r="S79" s="75" t="str">
        <x:f>IF($E79="","",SUMIFS('Master_Rules'!$G$4:$G$200,'Master_Rules'!$D$4:$D$200,E79))</x:f>
      </x:c>
      <x:c r="T79" s="75" t="str">
        <x:f>IF($E79="","",IF(S79=0,R79,MAX(S79,CEILING(R79,SUMIFS('Master_Rules'!$H$4:$H$200,'Master_Rules'!$D$4:$D$200,E79)))))</x:f>
      </x:c>
      <x:c r="U79" s="75" t="str">
        <x:f>IF($E79="","",T79*SUMIFS('Master_Rules'!$J$4:$J$200,'Master_Rules'!$D$4:$D$200,E79))</x:f>
      </x:c>
      <x:c r="V79" s="83" t="str">
        <x:f>IF($E79="","",IF(T79&gt;R79,"MOQ 조정",IF(K79="Y","필수품 확인","정상")))</x:f>
      </x:c>
    </x:row>
    <x:row r="80">
      <x:c r="A80" s="71"/>
      <x:c r="B80" s="71"/>
      <x:c r="C80" s="72"/>
      <x:c r="D80" s="72"/>
      <x:c r="E80" s="72"/>
      <x:c r="F80" s="72"/>
      <x:c r="G80" s="72"/>
      <x:c r="H80" s="81" t="str">
        <x:f>IF($E80="","",SUMIFS('Input_OL'!$K$4:$K$200,'Input_OL'!$C$4:$C$200,C80,'Input_OL'!$F$4:$F$200,B80))</x:f>
      </x:c>
      <x:c r="I80" s="81" t="str">
        <x:f>IF($E80="","",SUMIFS('Master_BOM'!$F$4:$F$200,'Master_BOM'!$A$4:$A$200,C80,'Master_BOM'!$C$4:$C$200,E80))</x:f>
      </x:c>
      <x:c r="J80" s="82" t="str">
        <x:f>IF($E80="","",SUMIFS('Master_BOM'!$G$4:$G$200,'Master_BOM'!$A$4:$A$200,C80,'Master_BOM'!$C$4:$C$200,E80))</x:f>
      </x:c>
      <x:c r="K80" s="83" t="str">
        <x:f>IF($E80="","",SUMIFS('Master_BOM'!$H$4:$H$200,'Master_BOM'!$A$4:$A$200,C80,'Master_BOM'!$C$4:$C$200,E80))</x:f>
      </x:c>
      <x:c r="L80" s="75" t="str">
        <x:f>IF($E80="","",IF(K80="Y",H80*I80,H80*I80*J80))</x:f>
      </x:c>
      <x:c r="M80" s="75" t="str">
        <x:f>IF($E80="","",IFERROR(SUMIFS('Master_BOM'!$J$4:$J$200,'Master_BOM'!$C$4:$C$200,E80),0))</x:f>
      </x:c>
      <x:c r="N80" s="75" t="str">
        <x:f>IF($E80="","",L80+M80)</x:f>
      </x:c>
      <x:c r="O80" s="75" t="str">
        <x:f>IF($E80="","",SUMIFS('Input_Inventory'!$G$4:$G$200,'Input_Inventory'!$C$4:$C$200,E80))</x:f>
      </x:c>
      <x:c r="P80" s="75" t="str">
        <x:f>IF($E80="","",SUMIFS('Input_Inventory'!$L$4:$L$200,'Input_Inventory'!$C$4:$C$200,E80,'Input_Inventory'!$F$4:$F$200,B80))</x:f>
      </x:c>
      <x:c r="Q80" s="75" t="str">
        <x:f>IF($E80="","",O80+P80)</x:f>
      </x:c>
      <x:c r="R80" s="75" t="str">
        <x:f>IF($E80="","",MAX(0,N80-Q80))</x:f>
      </x:c>
      <x:c r="S80" s="75" t="str">
        <x:f>IF($E80="","",SUMIFS('Master_Rules'!$G$4:$G$200,'Master_Rules'!$D$4:$D$200,E80))</x:f>
      </x:c>
      <x:c r="T80" s="75" t="str">
        <x:f>IF($E80="","",IF(S80=0,R80,MAX(S80,CEILING(R80,SUMIFS('Master_Rules'!$H$4:$H$200,'Master_Rules'!$D$4:$D$200,E80)))))</x:f>
      </x:c>
      <x:c r="U80" s="75" t="str">
        <x:f>IF($E80="","",T80*SUMIFS('Master_Rules'!$J$4:$J$200,'Master_Rules'!$D$4:$D$200,E80))</x:f>
      </x:c>
      <x:c r="V80" s="83" t="str">
        <x:f>IF($E80="","",IF(T80&gt;R80,"MOQ 조정",IF(K80="Y","필수품 확인","정상")))</x:f>
      </x:c>
    </x:row>
    <x:row r="81">
      <x:c r="A81" s="71"/>
      <x:c r="B81" s="71"/>
      <x:c r="C81" s="72"/>
      <x:c r="D81" s="72"/>
      <x:c r="E81" s="72"/>
      <x:c r="F81" s="72"/>
      <x:c r="G81" s="72"/>
      <x:c r="H81" s="81" t="str">
        <x:f>IF($E81="","",SUMIFS('Input_OL'!$K$4:$K$200,'Input_OL'!$C$4:$C$200,C81,'Input_OL'!$F$4:$F$200,B81))</x:f>
      </x:c>
      <x:c r="I81" s="81" t="str">
        <x:f>IF($E81="","",SUMIFS('Master_BOM'!$F$4:$F$200,'Master_BOM'!$A$4:$A$200,C81,'Master_BOM'!$C$4:$C$200,E81))</x:f>
      </x:c>
      <x:c r="J81" s="82" t="str">
        <x:f>IF($E81="","",SUMIFS('Master_BOM'!$G$4:$G$200,'Master_BOM'!$A$4:$A$200,C81,'Master_BOM'!$C$4:$C$200,E81))</x:f>
      </x:c>
      <x:c r="K81" s="83" t="str">
        <x:f>IF($E81="","",SUMIFS('Master_BOM'!$H$4:$H$200,'Master_BOM'!$A$4:$A$200,C81,'Master_BOM'!$C$4:$C$200,E81))</x:f>
      </x:c>
      <x:c r="L81" s="75" t="str">
        <x:f>IF($E81="","",IF(K81="Y",H81*I81,H81*I81*J81))</x:f>
      </x:c>
      <x:c r="M81" s="75" t="str">
        <x:f>IF($E81="","",IFERROR(SUMIFS('Master_BOM'!$J$4:$J$200,'Master_BOM'!$C$4:$C$200,E81),0))</x:f>
      </x:c>
      <x:c r="N81" s="75" t="str">
        <x:f>IF($E81="","",L81+M81)</x:f>
      </x:c>
      <x:c r="O81" s="75" t="str">
        <x:f>IF($E81="","",SUMIFS('Input_Inventory'!$G$4:$G$200,'Input_Inventory'!$C$4:$C$200,E81))</x:f>
      </x:c>
      <x:c r="P81" s="75" t="str">
        <x:f>IF($E81="","",SUMIFS('Input_Inventory'!$L$4:$L$200,'Input_Inventory'!$C$4:$C$200,E81,'Input_Inventory'!$F$4:$F$200,B81))</x:f>
      </x:c>
      <x:c r="Q81" s="75" t="str">
        <x:f>IF($E81="","",O81+P81)</x:f>
      </x:c>
      <x:c r="R81" s="75" t="str">
        <x:f>IF($E81="","",MAX(0,N81-Q81))</x:f>
      </x:c>
      <x:c r="S81" s="75" t="str">
        <x:f>IF($E81="","",SUMIFS('Master_Rules'!$G$4:$G$200,'Master_Rules'!$D$4:$D$200,E81))</x:f>
      </x:c>
      <x:c r="T81" s="75" t="str">
        <x:f>IF($E81="","",IF(S81=0,R81,MAX(S81,CEILING(R81,SUMIFS('Master_Rules'!$H$4:$H$200,'Master_Rules'!$D$4:$D$200,E81)))))</x:f>
      </x:c>
      <x:c r="U81" s="75" t="str">
        <x:f>IF($E81="","",T81*SUMIFS('Master_Rules'!$J$4:$J$200,'Master_Rules'!$D$4:$D$200,E81))</x:f>
      </x:c>
      <x:c r="V81" s="83" t="str">
        <x:f>IF($E81="","",IF(T81&gt;R81,"MOQ 조정",IF(K81="Y","필수품 확인","정상")))</x:f>
      </x:c>
    </x:row>
    <x:row r="82">
      <x:c r="A82" s="71"/>
      <x:c r="B82" s="71"/>
      <x:c r="C82" s="72"/>
      <x:c r="D82" s="72"/>
      <x:c r="E82" s="72"/>
      <x:c r="F82" s="72"/>
      <x:c r="G82" s="72"/>
      <x:c r="H82" s="81" t="str">
        <x:f>IF($E82="","",SUMIFS('Input_OL'!$K$4:$K$200,'Input_OL'!$C$4:$C$200,C82,'Input_OL'!$F$4:$F$200,B82))</x:f>
      </x:c>
      <x:c r="I82" s="81" t="str">
        <x:f>IF($E82="","",SUMIFS('Master_BOM'!$F$4:$F$200,'Master_BOM'!$A$4:$A$200,C82,'Master_BOM'!$C$4:$C$200,E82))</x:f>
      </x:c>
      <x:c r="J82" s="82" t="str">
        <x:f>IF($E82="","",SUMIFS('Master_BOM'!$G$4:$G$200,'Master_BOM'!$A$4:$A$200,C82,'Master_BOM'!$C$4:$C$200,E82))</x:f>
      </x:c>
      <x:c r="K82" s="83" t="str">
        <x:f>IF($E82="","",SUMIFS('Master_BOM'!$H$4:$H$200,'Master_BOM'!$A$4:$A$200,C82,'Master_BOM'!$C$4:$C$200,E82))</x:f>
      </x:c>
      <x:c r="L82" s="75" t="str">
        <x:f>IF($E82="","",IF(K82="Y",H82*I82,H82*I82*J82))</x:f>
      </x:c>
      <x:c r="M82" s="75" t="str">
        <x:f>IF($E82="","",IFERROR(SUMIFS('Master_BOM'!$J$4:$J$200,'Master_BOM'!$C$4:$C$200,E82),0))</x:f>
      </x:c>
      <x:c r="N82" s="75" t="str">
        <x:f>IF($E82="","",L82+M82)</x:f>
      </x:c>
      <x:c r="O82" s="75" t="str">
        <x:f>IF($E82="","",SUMIFS('Input_Inventory'!$G$4:$G$200,'Input_Inventory'!$C$4:$C$200,E82))</x:f>
      </x:c>
      <x:c r="P82" s="75" t="str">
        <x:f>IF($E82="","",SUMIFS('Input_Inventory'!$L$4:$L$200,'Input_Inventory'!$C$4:$C$200,E82,'Input_Inventory'!$F$4:$F$200,B82))</x:f>
      </x:c>
      <x:c r="Q82" s="75" t="str">
        <x:f>IF($E82="","",O82+P82)</x:f>
      </x:c>
      <x:c r="R82" s="75" t="str">
        <x:f>IF($E82="","",MAX(0,N82-Q82))</x:f>
      </x:c>
      <x:c r="S82" s="75" t="str">
        <x:f>IF($E82="","",SUMIFS('Master_Rules'!$G$4:$G$200,'Master_Rules'!$D$4:$D$200,E82))</x:f>
      </x:c>
      <x:c r="T82" s="75" t="str">
        <x:f>IF($E82="","",IF(S82=0,R82,MAX(S82,CEILING(R82,SUMIFS('Master_Rules'!$H$4:$H$200,'Master_Rules'!$D$4:$D$200,E82)))))</x:f>
      </x:c>
      <x:c r="U82" s="75" t="str">
        <x:f>IF($E82="","",T82*SUMIFS('Master_Rules'!$J$4:$J$200,'Master_Rules'!$D$4:$D$200,E82))</x:f>
      </x:c>
      <x:c r="V82" s="83" t="str">
        <x:f>IF($E82="","",IF(T82&gt;R82,"MOQ 조정",IF(K82="Y","필수품 확인","정상")))</x:f>
      </x:c>
    </x:row>
    <x:row r="83">
      <x:c r="A83" s="71"/>
      <x:c r="B83" s="71"/>
      <x:c r="C83" s="72"/>
      <x:c r="D83" s="72"/>
      <x:c r="E83" s="72"/>
      <x:c r="F83" s="72"/>
      <x:c r="G83" s="72"/>
      <x:c r="H83" s="81" t="str">
        <x:f>IF($E83="","",SUMIFS('Input_OL'!$K$4:$K$200,'Input_OL'!$C$4:$C$200,C83,'Input_OL'!$F$4:$F$200,B83))</x:f>
      </x:c>
      <x:c r="I83" s="81" t="str">
        <x:f>IF($E83="","",SUMIFS('Master_BOM'!$F$4:$F$200,'Master_BOM'!$A$4:$A$200,C83,'Master_BOM'!$C$4:$C$200,E83))</x:f>
      </x:c>
      <x:c r="J83" s="82" t="str">
        <x:f>IF($E83="","",SUMIFS('Master_BOM'!$G$4:$G$200,'Master_BOM'!$A$4:$A$200,C83,'Master_BOM'!$C$4:$C$200,E83))</x:f>
      </x:c>
      <x:c r="K83" s="83" t="str">
        <x:f>IF($E83="","",SUMIFS('Master_BOM'!$H$4:$H$200,'Master_BOM'!$A$4:$A$200,C83,'Master_BOM'!$C$4:$C$200,E83))</x:f>
      </x:c>
      <x:c r="L83" s="75" t="str">
        <x:f>IF($E83="","",IF(K83="Y",H83*I83,H83*I83*J83))</x:f>
      </x:c>
      <x:c r="M83" s="75" t="str">
        <x:f>IF($E83="","",IFERROR(SUMIFS('Master_BOM'!$J$4:$J$200,'Master_BOM'!$C$4:$C$200,E83),0))</x:f>
      </x:c>
      <x:c r="N83" s="75" t="str">
        <x:f>IF($E83="","",L83+M83)</x:f>
      </x:c>
      <x:c r="O83" s="75" t="str">
        <x:f>IF($E83="","",SUMIFS('Input_Inventory'!$G$4:$G$200,'Input_Inventory'!$C$4:$C$200,E83))</x:f>
      </x:c>
      <x:c r="P83" s="75" t="str">
        <x:f>IF($E83="","",SUMIFS('Input_Inventory'!$L$4:$L$200,'Input_Inventory'!$C$4:$C$200,E83,'Input_Inventory'!$F$4:$F$200,B83))</x:f>
      </x:c>
      <x:c r="Q83" s="75" t="str">
        <x:f>IF($E83="","",O83+P83)</x:f>
      </x:c>
      <x:c r="R83" s="75" t="str">
        <x:f>IF($E83="","",MAX(0,N83-Q83))</x:f>
      </x:c>
      <x:c r="S83" s="75" t="str">
        <x:f>IF($E83="","",SUMIFS('Master_Rules'!$G$4:$G$200,'Master_Rules'!$D$4:$D$200,E83))</x:f>
      </x:c>
      <x:c r="T83" s="75" t="str">
        <x:f>IF($E83="","",IF(S83=0,R83,MAX(S83,CEILING(R83,SUMIFS('Master_Rules'!$H$4:$H$200,'Master_Rules'!$D$4:$D$200,E83)))))</x:f>
      </x:c>
      <x:c r="U83" s="75" t="str">
        <x:f>IF($E83="","",T83*SUMIFS('Master_Rules'!$J$4:$J$200,'Master_Rules'!$D$4:$D$200,E83))</x:f>
      </x:c>
      <x:c r="V83" s="83" t="str">
        <x:f>IF($E83="","",IF(T83&gt;R83,"MOQ 조정",IF(K83="Y","필수품 확인","정상")))</x:f>
      </x:c>
    </x:row>
    <x:row r="84">
      <x:c r="A84" s="71"/>
      <x:c r="B84" s="71"/>
      <x:c r="C84" s="72"/>
      <x:c r="D84" s="72"/>
      <x:c r="E84" s="72"/>
      <x:c r="F84" s="72"/>
      <x:c r="G84" s="72"/>
      <x:c r="H84" s="81" t="str">
        <x:f>IF($E84="","",SUMIFS('Input_OL'!$K$4:$K$200,'Input_OL'!$C$4:$C$200,C84,'Input_OL'!$F$4:$F$200,B84))</x:f>
      </x:c>
      <x:c r="I84" s="81" t="str">
        <x:f>IF($E84="","",SUMIFS('Master_BOM'!$F$4:$F$200,'Master_BOM'!$A$4:$A$200,C84,'Master_BOM'!$C$4:$C$200,E84))</x:f>
      </x:c>
      <x:c r="J84" s="82" t="str">
        <x:f>IF($E84="","",SUMIFS('Master_BOM'!$G$4:$G$200,'Master_BOM'!$A$4:$A$200,C84,'Master_BOM'!$C$4:$C$200,E84))</x:f>
      </x:c>
      <x:c r="K84" s="83" t="str">
        <x:f>IF($E84="","",SUMIFS('Master_BOM'!$H$4:$H$200,'Master_BOM'!$A$4:$A$200,C84,'Master_BOM'!$C$4:$C$200,E84))</x:f>
      </x:c>
      <x:c r="L84" s="75" t="str">
        <x:f>IF($E84="","",IF(K84="Y",H84*I84,H84*I84*J84))</x:f>
      </x:c>
      <x:c r="M84" s="75" t="str">
        <x:f>IF($E84="","",IFERROR(SUMIFS('Master_BOM'!$J$4:$J$200,'Master_BOM'!$C$4:$C$200,E84),0))</x:f>
      </x:c>
      <x:c r="N84" s="75" t="str">
        <x:f>IF($E84="","",L84+M84)</x:f>
      </x:c>
      <x:c r="O84" s="75" t="str">
        <x:f>IF($E84="","",SUMIFS('Input_Inventory'!$G$4:$G$200,'Input_Inventory'!$C$4:$C$200,E84))</x:f>
      </x:c>
      <x:c r="P84" s="75" t="str">
        <x:f>IF($E84="","",SUMIFS('Input_Inventory'!$L$4:$L$200,'Input_Inventory'!$C$4:$C$200,E84,'Input_Inventory'!$F$4:$F$200,B84))</x:f>
      </x:c>
      <x:c r="Q84" s="75" t="str">
        <x:f>IF($E84="","",O84+P84)</x:f>
      </x:c>
      <x:c r="R84" s="75" t="str">
        <x:f>IF($E84="","",MAX(0,N84-Q84))</x:f>
      </x:c>
      <x:c r="S84" s="75" t="str">
        <x:f>IF($E84="","",SUMIFS('Master_Rules'!$G$4:$G$200,'Master_Rules'!$D$4:$D$200,E84))</x:f>
      </x:c>
      <x:c r="T84" s="75" t="str">
        <x:f>IF($E84="","",IF(S84=0,R84,MAX(S84,CEILING(R84,SUMIFS('Master_Rules'!$H$4:$H$200,'Master_Rules'!$D$4:$D$200,E84)))))</x:f>
      </x:c>
      <x:c r="U84" s="75" t="str">
        <x:f>IF($E84="","",T84*SUMIFS('Master_Rules'!$J$4:$J$200,'Master_Rules'!$D$4:$D$200,E84))</x:f>
      </x:c>
      <x:c r="V84" s="83" t="str">
        <x:f>IF($E84="","",IF(T84&gt;R84,"MOQ 조정",IF(K84="Y","필수품 확인","정상")))</x:f>
      </x:c>
    </x:row>
    <x:row r="85">
      <x:c r="A85" s="71"/>
      <x:c r="B85" s="71"/>
      <x:c r="C85" s="72"/>
      <x:c r="D85" s="72"/>
      <x:c r="E85" s="72"/>
      <x:c r="F85" s="72"/>
      <x:c r="G85" s="72"/>
      <x:c r="H85" s="81" t="str">
        <x:f>IF($E85="","",SUMIFS('Input_OL'!$K$4:$K$200,'Input_OL'!$C$4:$C$200,C85,'Input_OL'!$F$4:$F$200,B85))</x:f>
      </x:c>
      <x:c r="I85" s="81" t="str">
        <x:f>IF($E85="","",SUMIFS('Master_BOM'!$F$4:$F$200,'Master_BOM'!$A$4:$A$200,C85,'Master_BOM'!$C$4:$C$200,E85))</x:f>
      </x:c>
      <x:c r="J85" s="82" t="str">
        <x:f>IF($E85="","",SUMIFS('Master_BOM'!$G$4:$G$200,'Master_BOM'!$A$4:$A$200,C85,'Master_BOM'!$C$4:$C$200,E85))</x:f>
      </x:c>
      <x:c r="K85" s="83" t="str">
        <x:f>IF($E85="","",SUMIFS('Master_BOM'!$H$4:$H$200,'Master_BOM'!$A$4:$A$200,C85,'Master_BOM'!$C$4:$C$200,E85))</x:f>
      </x:c>
      <x:c r="L85" s="75" t="str">
        <x:f>IF($E85="","",IF(K85="Y",H85*I85,H85*I85*J85))</x:f>
      </x:c>
      <x:c r="M85" s="75" t="str">
        <x:f>IF($E85="","",IFERROR(SUMIFS('Master_BOM'!$J$4:$J$200,'Master_BOM'!$C$4:$C$200,E85),0))</x:f>
      </x:c>
      <x:c r="N85" s="75" t="str">
        <x:f>IF($E85="","",L85+M85)</x:f>
      </x:c>
      <x:c r="O85" s="75" t="str">
        <x:f>IF($E85="","",SUMIFS('Input_Inventory'!$G$4:$G$200,'Input_Inventory'!$C$4:$C$200,E85))</x:f>
      </x:c>
      <x:c r="P85" s="75" t="str">
        <x:f>IF($E85="","",SUMIFS('Input_Inventory'!$L$4:$L$200,'Input_Inventory'!$C$4:$C$200,E85,'Input_Inventory'!$F$4:$F$200,B85))</x:f>
      </x:c>
      <x:c r="Q85" s="75" t="str">
        <x:f>IF($E85="","",O85+P85)</x:f>
      </x:c>
      <x:c r="R85" s="75" t="str">
        <x:f>IF($E85="","",MAX(0,N85-Q85))</x:f>
      </x:c>
      <x:c r="S85" s="75" t="str">
        <x:f>IF($E85="","",SUMIFS('Master_Rules'!$G$4:$G$200,'Master_Rules'!$D$4:$D$200,E85))</x:f>
      </x:c>
      <x:c r="T85" s="75" t="str">
        <x:f>IF($E85="","",IF(S85=0,R85,MAX(S85,CEILING(R85,SUMIFS('Master_Rules'!$H$4:$H$200,'Master_Rules'!$D$4:$D$200,E85)))))</x:f>
      </x:c>
      <x:c r="U85" s="75" t="str">
        <x:f>IF($E85="","",T85*SUMIFS('Master_Rules'!$J$4:$J$200,'Master_Rules'!$D$4:$D$200,E85))</x:f>
      </x:c>
      <x:c r="V85" s="83" t="str">
        <x:f>IF($E85="","",IF(T85&gt;R85,"MOQ 조정",IF(K85="Y","필수품 확인","정상")))</x:f>
      </x:c>
    </x:row>
    <x:row r="86">
      <x:c r="A86" s="71"/>
      <x:c r="B86" s="71"/>
      <x:c r="C86" s="72"/>
      <x:c r="D86" s="72"/>
      <x:c r="E86" s="72"/>
      <x:c r="F86" s="72"/>
      <x:c r="G86" s="72"/>
      <x:c r="H86" s="81" t="str">
        <x:f>IF($E86="","",SUMIFS('Input_OL'!$K$4:$K$200,'Input_OL'!$C$4:$C$200,C86,'Input_OL'!$F$4:$F$200,B86))</x:f>
      </x:c>
      <x:c r="I86" s="81" t="str">
        <x:f>IF($E86="","",SUMIFS('Master_BOM'!$F$4:$F$200,'Master_BOM'!$A$4:$A$200,C86,'Master_BOM'!$C$4:$C$200,E86))</x:f>
      </x:c>
      <x:c r="J86" s="82" t="str">
        <x:f>IF($E86="","",SUMIFS('Master_BOM'!$G$4:$G$200,'Master_BOM'!$A$4:$A$200,C86,'Master_BOM'!$C$4:$C$200,E86))</x:f>
      </x:c>
      <x:c r="K86" s="83" t="str">
        <x:f>IF($E86="","",SUMIFS('Master_BOM'!$H$4:$H$200,'Master_BOM'!$A$4:$A$200,C86,'Master_BOM'!$C$4:$C$200,E86))</x:f>
      </x:c>
      <x:c r="L86" s="75" t="str">
        <x:f>IF($E86="","",IF(K86="Y",H86*I86,H86*I86*J86))</x:f>
      </x:c>
      <x:c r="M86" s="75" t="str">
        <x:f>IF($E86="","",IFERROR(SUMIFS('Master_BOM'!$J$4:$J$200,'Master_BOM'!$C$4:$C$200,E86),0))</x:f>
      </x:c>
      <x:c r="N86" s="75" t="str">
        <x:f>IF($E86="","",L86+M86)</x:f>
      </x:c>
      <x:c r="O86" s="75" t="str">
        <x:f>IF($E86="","",SUMIFS('Input_Inventory'!$G$4:$G$200,'Input_Inventory'!$C$4:$C$200,E86))</x:f>
      </x:c>
      <x:c r="P86" s="75" t="str">
        <x:f>IF($E86="","",SUMIFS('Input_Inventory'!$L$4:$L$200,'Input_Inventory'!$C$4:$C$200,E86,'Input_Inventory'!$F$4:$F$200,B86))</x:f>
      </x:c>
      <x:c r="Q86" s="75" t="str">
        <x:f>IF($E86="","",O86+P86)</x:f>
      </x:c>
      <x:c r="R86" s="75" t="str">
        <x:f>IF($E86="","",MAX(0,N86-Q86))</x:f>
      </x:c>
      <x:c r="S86" s="75" t="str">
        <x:f>IF($E86="","",SUMIFS('Master_Rules'!$G$4:$G$200,'Master_Rules'!$D$4:$D$200,E86))</x:f>
      </x:c>
      <x:c r="T86" s="75" t="str">
        <x:f>IF($E86="","",IF(S86=0,R86,MAX(S86,CEILING(R86,SUMIFS('Master_Rules'!$H$4:$H$200,'Master_Rules'!$D$4:$D$200,E86)))))</x:f>
      </x:c>
      <x:c r="U86" s="75" t="str">
        <x:f>IF($E86="","",T86*SUMIFS('Master_Rules'!$J$4:$J$200,'Master_Rules'!$D$4:$D$200,E86))</x:f>
      </x:c>
      <x:c r="V86" s="83" t="str">
        <x:f>IF($E86="","",IF(T86&gt;R86,"MOQ 조정",IF(K86="Y","필수품 확인","정상")))</x:f>
      </x:c>
    </x:row>
    <x:row r="87">
      <x:c r="A87" s="71"/>
      <x:c r="B87" s="71"/>
      <x:c r="C87" s="72"/>
      <x:c r="D87" s="72"/>
      <x:c r="E87" s="72"/>
      <x:c r="F87" s="72"/>
      <x:c r="G87" s="72"/>
      <x:c r="H87" s="81" t="str">
        <x:f>IF($E87="","",SUMIFS('Input_OL'!$K$4:$K$200,'Input_OL'!$C$4:$C$200,C87,'Input_OL'!$F$4:$F$200,B87))</x:f>
      </x:c>
      <x:c r="I87" s="81" t="str">
        <x:f>IF($E87="","",SUMIFS('Master_BOM'!$F$4:$F$200,'Master_BOM'!$A$4:$A$200,C87,'Master_BOM'!$C$4:$C$200,E87))</x:f>
      </x:c>
      <x:c r="J87" s="82" t="str">
        <x:f>IF($E87="","",SUMIFS('Master_BOM'!$G$4:$G$200,'Master_BOM'!$A$4:$A$200,C87,'Master_BOM'!$C$4:$C$200,E87))</x:f>
      </x:c>
      <x:c r="K87" s="83" t="str">
        <x:f>IF($E87="","",SUMIFS('Master_BOM'!$H$4:$H$200,'Master_BOM'!$A$4:$A$200,C87,'Master_BOM'!$C$4:$C$200,E87))</x:f>
      </x:c>
      <x:c r="L87" s="75" t="str">
        <x:f>IF($E87="","",IF(K87="Y",H87*I87,H87*I87*J87))</x:f>
      </x:c>
      <x:c r="M87" s="75" t="str">
        <x:f>IF($E87="","",IFERROR(SUMIFS('Master_BOM'!$J$4:$J$200,'Master_BOM'!$C$4:$C$200,E87),0))</x:f>
      </x:c>
      <x:c r="N87" s="75" t="str">
        <x:f>IF($E87="","",L87+M87)</x:f>
      </x:c>
      <x:c r="O87" s="75" t="str">
        <x:f>IF($E87="","",SUMIFS('Input_Inventory'!$G$4:$G$200,'Input_Inventory'!$C$4:$C$200,E87))</x:f>
      </x:c>
      <x:c r="P87" s="75" t="str">
        <x:f>IF($E87="","",SUMIFS('Input_Inventory'!$L$4:$L$200,'Input_Inventory'!$C$4:$C$200,E87,'Input_Inventory'!$F$4:$F$200,B87))</x:f>
      </x:c>
      <x:c r="Q87" s="75" t="str">
        <x:f>IF($E87="","",O87+P87)</x:f>
      </x:c>
      <x:c r="R87" s="75" t="str">
        <x:f>IF($E87="","",MAX(0,N87-Q87))</x:f>
      </x:c>
      <x:c r="S87" s="75" t="str">
        <x:f>IF($E87="","",SUMIFS('Master_Rules'!$G$4:$G$200,'Master_Rules'!$D$4:$D$200,E87))</x:f>
      </x:c>
      <x:c r="T87" s="75" t="str">
        <x:f>IF($E87="","",IF(S87=0,R87,MAX(S87,CEILING(R87,SUMIFS('Master_Rules'!$H$4:$H$200,'Master_Rules'!$D$4:$D$200,E87)))))</x:f>
      </x:c>
      <x:c r="U87" s="75" t="str">
        <x:f>IF($E87="","",T87*SUMIFS('Master_Rules'!$J$4:$J$200,'Master_Rules'!$D$4:$D$200,E87))</x:f>
      </x:c>
      <x:c r="V87" s="83" t="str">
        <x:f>IF($E87="","",IF(T87&gt;R87,"MOQ 조정",IF(K87="Y","필수품 확인","정상")))</x:f>
      </x:c>
    </x:row>
    <x:row r="88">
      <x:c r="A88" s="71"/>
      <x:c r="B88" s="71"/>
      <x:c r="C88" s="72"/>
      <x:c r="D88" s="72"/>
      <x:c r="E88" s="72"/>
      <x:c r="F88" s="72"/>
      <x:c r="G88" s="72"/>
      <x:c r="H88" s="81" t="str">
        <x:f>IF($E88="","",SUMIFS('Input_OL'!$K$4:$K$200,'Input_OL'!$C$4:$C$200,C88,'Input_OL'!$F$4:$F$200,B88))</x:f>
      </x:c>
      <x:c r="I88" s="81" t="str">
        <x:f>IF($E88="","",SUMIFS('Master_BOM'!$F$4:$F$200,'Master_BOM'!$A$4:$A$200,C88,'Master_BOM'!$C$4:$C$200,E88))</x:f>
      </x:c>
      <x:c r="J88" s="82" t="str">
        <x:f>IF($E88="","",SUMIFS('Master_BOM'!$G$4:$G$200,'Master_BOM'!$A$4:$A$200,C88,'Master_BOM'!$C$4:$C$200,E88))</x:f>
      </x:c>
      <x:c r="K88" s="83" t="str">
        <x:f>IF($E88="","",SUMIFS('Master_BOM'!$H$4:$H$200,'Master_BOM'!$A$4:$A$200,C88,'Master_BOM'!$C$4:$C$200,E88))</x:f>
      </x:c>
      <x:c r="L88" s="75" t="str">
        <x:f>IF($E88="","",IF(K88="Y",H88*I88,H88*I88*J88))</x:f>
      </x:c>
      <x:c r="M88" s="75" t="str">
        <x:f>IF($E88="","",IFERROR(SUMIFS('Master_BOM'!$J$4:$J$200,'Master_BOM'!$C$4:$C$200,E88),0))</x:f>
      </x:c>
      <x:c r="N88" s="75" t="str">
        <x:f>IF($E88="","",L88+M88)</x:f>
      </x:c>
      <x:c r="O88" s="75" t="str">
        <x:f>IF($E88="","",SUMIFS('Input_Inventory'!$G$4:$G$200,'Input_Inventory'!$C$4:$C$200,E88))</x:f>
      </x:c>
      <x:c r="P88" s="75" t="str">
        <x:f>IF($E88="","",SUMIFS('Input_Inventory'!$L$4:$L$200,'Input_Inventory'!$C$4:$C$200,E88,'Input_Inventory'!$F$4:$F$200,B88))</x:f>
      </x:c>
      <x:c r="Q88" s="75" t="str">
        <x:f>IF($E88="","",O88+P88)</x:f>
      </x:c>
      <x:c r="R88" s="75" t="str">
        <x:f>IF($E88="","",MAX(0,N88-Q88))</x:f>
      </x:c>
      <x:c r="S88" s="75" t="str">
        <x:f>IF($E88="","",SUMIFS('Master_Rules'!$G$4:$G$200,'Master_Rules'!$D$4:$D$200,E88))</x:f>
      </x:c>
      <x:c r="T88" s="75" t="str">
        <x:f>IF($E88="","",IF(S88=0,R88,MAX(S88,CEILING(R88,SUMIFS('Master_Rules'!$H$4:$H$200,'Master_Rules'!$D$4:$D$200,E88)))))</x:f>
      </x:c>
      <x:c r="U88" s="75" t="str">
        <x:f>IF($E88="","",T88*SUMIFS('Master_Rules'!$J$4:$J$200,'Master_Rules'!$D$4:$D$200,E88))</x:f>
      </x:c>
      <x:c r="V88" s="83" t="str">
        <x:f>IF($E88="","",IF(T88&gt;R88,"MOQ 조정",IF(K88="Y","필수품 확인","정상")))</x:f>
      </x:c>
    </x:row>
    <x:row r="89">
      <x:c r="A89" s="71"/>
      <x:c r="B89" s="71"/>
      <x:c r="C89" s="72"/>
      <x:c r="D89" s="72"/>
      <x:c r="E89" s="72"/>
      <x:c r="F89" s="72"/>
      <x:c r="G89" s="72"/>
      <x:c r="H89" s="81" t="str">
        <x:f>IF($E89="","",SUMIFS('Input_OL'!$K$4:$K$200,'Input_OL'!$C$4:$C$200,C89,'Input_OL'!$F$4:$F$200,B89))</x:f>
      </x:c>
      <x:c r="I89" s="81" t="str">
        <x:f>IF($E89="","",SUMIFS('Master_BOM'!$F$4:$F$200,'Master_BOM'!$A$4:$A$200,C89,'Master_BOM'!$C$4:$C$200,E89))</x:f>
      </x:c>
      <x:c r="J89" s="82" t="str">
        <x:f>IF($E89="","",SUMIFS('Master_BOM'!$G$4:$G$200,'Master_BOM'!$A$4:$A$200,C89,'Master_BOM'!$C$4:$C$200,E89))</x:f>
      </x:c>
      <x:c r="K89" s="83" t="str">
        <x:f>IF($E89="","",SUMIFS('Master_BOM'!$H$4:$H$200,'Master_BOM'!$A$4:$A$200,C89,'Master_BOM'!$C$4:$C$200,E89))</x:f>
      </x:c>
      <x:c r="L89" s="75" t="str">
        <x:f>IF($E89="","",IF(K89="Y",H89*I89,H89*I89*J89))</x:f>
      </x:c>
      <x:c r="M89" s="75" t="str">
        <x:f>IF($E89="","",IFERROR(SUMIFS('Master_BOM'!$J$4:$J$200,'Master_BOM'!$C$4:$C$200,E89),0))</x:f>
      </x:c>
      <x:c r="N89" s="75" t="str">
        <x:f>IF($E89="","",L89+M89)</x:f>
      </x:c>
      <x:c r="O89" s="75" t="str">
        <x:f>IF($E89="","",SUMIFS('Input_Inventory'!$G$4:$G$200,'Input_Inventory'!$C$4:$C$200,E89))</x:f>
      </x:c>
      <x:c r="P89" s="75" t="str">
        <x:f>IF($E89="","",SUMIFS('Input_Inventory'!$L$4:$L$200,'Input_Inventory'!$C$4:$C$200,E89,'Input_Inventory'!$F$4:$F$200,B89))</x:f>
      </x:c>
      <x:c r="Q89" s="75" t="str">
        <x:f>IF($E89="","",O89+P89)</x:f>
      </x:c>
      <x:c r="R89" s="75" t="str">
        <x:f>IF($E89="","",MAX(0,N89-Q89))</x:f>
      </x:c>
      <x:c r="S89" s="75" t="str">
        <x:f>IF($E89="","",SUMIFS('Master_Rules'!$G$4:$G$200,'Master_Rules'!$D$4:$D$200,E89))</x:f>
      </x:c>
      <x:c r="T89" s="75" t="str">
        <x:f>IF($E89="","",IF(S89=0,R89,MAX(S89,CEILING(R89,SUMIFS('Master_Rules'!$H$4:$H$200,'Master_Rules'!$D$4:$D$200,E89)))))</x:f>
      </x:c>
      <x:c r="U89" s="75" t="str">
        <x:f>IF($E89="","",T89*SUMIFS('Master_Rules'!$J$4:$J$200,'Master_Rules'!$D$4:$D$200,E89))</x:f>
      </x:c>
      <x:c r="V89" s="83" t="str">
        <x:f>IF($E89="","",IF(T89&gt;R89,"MOQ 조정",IF(K89="Y","필수품 확인","정상")))</x:f>
      </x:c>
    </x:row>
    <x:row r="90">
      <x:c r="A90" s="71"/>
      <x:c r="B90" s="71"/>
      <x:c r="C90" s="72"/>
      <x:c r="D90" s="72"/>
      <x:c r="E90" s="72"/>
      <x:c r="F90" s="72"/>
      <x:c r="G90" s="72"/>
      <x:c r="H90" s="81" t="str">
        <x:f>IF($E90="","",SUMIFS('Input_OL'!$K$4:$K$200,'Input_OL'!$C$4:$C$200,C90,'Input_OL'!$F$4:$F$200,B90))</x:f>
      </x:c>
      <x:c r="I90" s="81" t="str">
        <x:f>IF($E90="","",SUMIFS('Master_BOM'!$F$4:$F$200,'Master_BOM'!$A$4:$A$200,C90,'Master_BOM'!$C$4:$C$200,E90))</x:f>
      </x:c>
      <x:c r="J90" s="82" t="str">
        <x:f>IF($E90="","",SUMIFS('Master_BOM'!$G$4:$G$200,'Master_BOM'!$A$4:$A$200,C90,'Master_BOM'!$C$4:$C$200,E90))</x:f>
      </x:c>
      <x:c r="K90" s="83" t="str">
        <x:f>IF($E90="","",SUMIFS('Master_BOM'!$H$4:$H$200,'Master_BOM'!$A$4:$A$200,C90,'Master_BOM'!$C$4:$C$200,E90))</x:f>
      </x:c>
      <x:c r="L90" s="75" t="str">
        <x:f>IF($E90="","",IF(K90="Y",H90*I90,H90*I90*J90))</x:f>
      </x:c>
      <x:c r="M90" s="75" t="str">
        <x:f>IF($E90="","",IFERROR(SUMIFS('Master_BOM'!$J$4:$J$200,'Master_BOM'!$C$4:$C$200,E90),0))</x:f>
      </x:c>
      <x:c r="N90" s="75" t="str">
        <x:f>IF($E90="","",L90+M90)</x:f>
      </x:c>
      <x:c r="O90" s="75" t="str">
        <x:f>IF($E90="","",SUMIFS('Input_Inventory'!$G$4:$G$200,'Input_Inventory'!$C$4:$C$200,E90))</x:f>
      </x:c>
      <x:c r="P90" s="75" t="str">
        <x:f>IF($E90="","",SUMIFS('Input_Inventory'!$L$4:$L$200,'Input_Inventory'!$C$4:$C$200,E90,'Input_Inventory'!$F$4:$F$200,B90))</x:f>
      </x:c>
      <x:c r="Q90" s="75" t="str">
        <x:f>IF($E90="","",O90+P90)</x:f>
      </x:c>
      <x:c r="R90" s="75" t="str">
        <x:f>IF($E90="","",MAX(0,N90-Q90))</x:f>
      </x:c>
      <x:c r="S90" s="75" t="str">
        <x:f>IF($E90="","",SUMIFS('Master_Rules'!$G$4:$G$200,'Master_Rules'!$D$4:$D$200,E90))</x:f>
      </x:c>
      <x:c r="T90" s="75" t="str">
        <x:f>IF($E90="","",IF(S90=0,R90,MAX(S90,CEILING(R90,SUMIFS('Master_Rules'!$H$4:$H$200,'Master_Rules'!$D$4:$D$200,E90)))))</x:f>
      </x:c>
      <x:c r="U90" s="75" t="str">
        <x:f>IF($E90="","",T90*SUMIFS('Master_Rules'!$J$4:$J$200,'Master_Rules'!$D$4:$D$200,E90))</x:f>
      </x:c>
      <x:c r="V90" s="83" t="str">
        <x:f>IF($E90="","",IF(T90&gt;R90,"MOQ 조정",IF(K90="Y","필수품 확인","정상")))</x:f>
      </x:c>
    </x:row>
    <x:row r="91">
      <x:c r="A91" s="71"/>
      <x:c r="B91" s="71"/>
      <x:c r="C91" s="72"/>
      <x:c r="D91" s="72"/>
      <x:c r="E91" s="72"/>
      <x:c r="F91" s="72"/>
      <x:c r="G91" s="72"/>
      <x:c r="H91" s="81" t="str">
        <x:f>IF($E91="","",SUMIFS('Input_OL'!$K$4:$K$200,'Input_OL'!$C$4:$C$200,C91,'Input_OL'!$F$4:$F$200,B91))</x:f>
      </x:c>
      <x:c r="I91" s="81" t="str">
        <x:f>IF($E91="","",SUMIFS('Master_BOM'!$F$4:$F$200,'Master_BOM'!$A$4:$A$200,C91,'Master_BOM'!$C$4:$C$200,E91))</x:f>
      </x:c>
      <x:c r="J91" s="82" t="str">
        <x:f>IF($E91="","",SUMIFS('Master_BOM'!$G$4:$G$200,'Master_BOM'!$A$4:$A$200,C91,'Master_BOM'!$C$4:$C$200,E91))</x:f>
      </x:c>
      <x:c r="K91" s="83" t="str">
        <x:f>IF($E91="","",SUMIFS('Master_BOM'!$H$4:$H$200,'Master_BOM'!$A$4:$A$200,C91,'Master_BOM'!$C$4:$C$200,E91))</x:f>
      </x:c>
      <x:c r="L91" s="75" t="str">
        <x:f>IF($E91="","",IF(K91="Y",H91*I91,H91*I91*J91))</x:f>
      </x:c>
      <x:c r="M91" s="75" t="str">
        <x:f>IF($E91="","",IFERROR(SUMIFS('Master_BOM'!$J$4:$J$200,'Master_BOM'!$C$4:$C$200,E91),0))</x:f>
      </x:c>
      <x:c r="N91" s="75" t="str">
        <x:f>IF($E91="","",L91+M91)</x:f>
      </x:c>
      <x:c r="O91" s="75" t="str">
        <x:f>IF($E91="","",SUMIFS('Input_Inventory'!$G$4:$G$200,'Input_Inventory'!$C$4:$C$200,E91))</x:f>
      </x:c>
      <x:c r="P91" s="75" t="str">
        <x:f>IF($E91="","",SUMIFS('Input_Inventory'!$L$4:$L$200,'Input_Inventory'!$C$4:$C$200,E91,'Input_Inventory'!$F$4:$F$200,B91))</x:f>
      </x:c>
      <x:c r="Q91" s="75" t="str">
        <x:f>IF($E91="","",O91+P91)</x:f>
      </x:c>
      <x:c r="R91" s="75" t="str">
        <x:f>IF($E91="","",MAX(0,N91-Q91))</x:f>
      </x:c>
      <x:c r="S91" s="75" t="str">
        <x:f>IF($E91="","",SUMIFS('Master_Rules'!$G$4:$G$200,'Master_Rules'!$D$4:$D$200,E91))</x:f>
      </x:c>
      <x:c r="T91" s="75" t="str">
        <x:f>IF($E91="","",IF(S91=0,R91,MAX(S91,CEILING(R91,SUMIFS('Master_Rules'!$H$4:$H$200,'Master_Rules'!$D$4:$D$200,E91)))))</x:f>
      </x:c>
      <x:c r="U91" s="75" t="str">
        <x:f>IF($E91="","",T91*SUMIFS('Master_Rules'!$J$4:$J$200,'Master_Rules'!$D$4:$D$200,E91))</x:f>
      </x:c>
      <x:c r="V91" s="83" t="str">
        <x:f>IF($E91="","",IF(T91&gt;R91,"MOQ 조정",IF(K91="Y","필수품 확인","정상")))</x:f>
      </x:c>
    </x:row>
    <x:row r="92">
      <x:c r="A92" s="71"/>
      <x:c r="B92" s="71"/>
      <x:c r="C92" s="72"/>
      <x:c r="D92" s="72"/>
      <x:c r="E92" s="72"/>
      <x:c r="F92" s="72"/>
      <x:c r="G92" s="72"/>
      <x:c r="H92" s="81" t="str">
        <x:f>IF($E92="","",SUMIFS('Input_OL'!$K$4:$K$200,'Input_OL'!$C$4:$C$200,C92,'Input_OL'!$F$4:$F$200,B92))</x:f>
      </x:c>
      <x:c r="I92" s="81" t="str">
        <x:f>IF($E92="","",SUMIFS('Master_BOM'!$F$4:$F$200,'Master_BOM'!$A$4:$A$200,C92,'Master_BOM'!$C$4:$C$200,E92))</x:f>
      </x:c>
      <x:c r="J92" s="82" t="str">
        <x:f>IF($E92="","",SUMIFS('Master_BOM'!$G$4:$G$200,'Master_BOM'!$A$4:$A$200,C92,'Master_BOM'!$C$4:$C$200,E92))</x:f>
      </x:c>
      <x:c r="K92" s="83" t="str">
        <x:f>IF($E92="","",SUMIFS('Master_BOM'!$H$4:$H$200,'Master_BOM'!$A$4:$A$200,C92,'Master_BOM'!$C$4:$C$200,E92))</x:f>
      </x:c>
      <x:c r="L92" s="75" t="str">
        <x:f>IF($E92="","",IF(K92="Y",H92*I92,H92*I92*J92))</x:f>
      </x:c>
      <x:c r="M92" s="75" t="str">
        <x:f>IF($E92="","",IFERROR(SUMIFS('Master_BOM'!$J$4:$J$200,'Master_BOM'!$C$4:$C$200,E92),0))</x:f>
      </x:c>
      <x:c r="N92" s="75" t="str">
        <x:f>IF($E92="","",L92+M92)</x:f>
      </x:c>
      <x:c r="O92" s="75" t="str">
        <x:f>IF($E92="","",SUMIFS('Input_Inventory'!$G$4:$G$200,'Input_Inventory'!$C$4:$C$200,E92))</x:f>
      </x:c>
      <x:c r="P92" s="75" t="str">
        <x:f>IF($E92="","",SUMIFS('Input_Inventory'!$L$4:$L$200,'Input_Inventory'!$C$4:$C$200,E92,'Input_Inventory'!$F$4:$F$200,B92))</x:f>
      </x:c>
      <x:c r="Q92" s="75" t="str">
        <x:f>IF($E92="","",O92+P92)</x:f>
      </x:c>
      <x:c r="R92" s="75" t="str">
        <x:f>IF($E92="","",MAX(0,N92-Q92))</x:f>
      </x:c>
      <x:c r="S92" s="75" t="str">
        <x:f>IF($E92="","",SUMIFS('Master_Rules'!$G$4:$G$200,'Master_Rules'!$D$4:$D$200,E92))</x:f>
      </x:c>
      <x:c r="T92" s="75" t="str">
        <x:f>IF($E92="","",IF(S92=0,R92,MAX(S92,CEILING(R92,SUMIFS('Master_Rules'!$H$4:$H$200,'Master_Rules'!$D$4:$D$200,E92)))))</x:f>
      </x:c>
      <x:c r="U92" s="75" t="str">
        <x:f>IF($E92="","",T92*SUMIFS('Master_Rules'!$J$4:$J$200,'Master_Rules'!$D$4:$D$200,E92))</x:f>
      </x:c>
      <x:c r="V92" s="83" t="str">
        <x:f>IF($E92="","",IF(T92&gt;R92,"MOQ 조정",IF(K92="Y","필수품 확인","정상")))</x:f>
      </x:c>
    </x:row>
    <x:row r="93">
      <x:c r="A93" s="71"/>
      <x:c r="B93" s="71"/>
      <x:c r="C93" s="72"/>
      <x:c r="D93" s="72"/>
      <x:c r="E93" s="72"/>
      <x:c r="F93" s="72"/>
      <x:c r="G93" s="72"/>
      <x:c r="H93" s="81" t="str">
        <x:f>IF($E93="","",SUMIFS('Input_OL'!$K$4:$K$200,'Input_OL'!$C$4:$C$200,C93,'Input_OL'!$F$4:$F$200,B93))</x:f>
      </x:c>
      <x:c r="I93" s="81" t="str">
        <x:f>IF($E93="","",SUMIFS('Master_BOM'!$F$4:$F$200,'Master_BOM'!$A$4:$A$200,C93,'Master_BOM'!$C$4:$C$200,E93))</x:f>
      </x:c>
      <x:c r="J93" s="82" t="str">
        <x:f>IF($E93="","",SUMIFS('Master_BOM'!$G$4:$G$200,'Master_BOM'!$A$4:$A$200,C93,'Master_BOM'!$C$4:$C$200,E93))</x:f>
      </x:c>
      <x:c r="K93" s="83" t="str">
        <x:f>IF($E93="","",SUMIFS('Master_BOM'!$H$4:$H$200,'Master_BOM'!$A$4:$A$200,C93,'Master_BOM'!$C$4:$C$200,E93))</x:f>
      </x:c>
      <x:c r="L93" s="75" t="str">
        <x:f>IF($E93="","",IF(K93="Y",H93*I93,H93*I93*J93))</x:f>
      </x:c>
      <x:c r="M93" s="75" t="str">
        <x:f>IF($E93="","",IFERROR(SUMIFS('Master_BOM'!$J$4:$J$200,'Master_BOM'!$C$4:$C$200,E93),0))</x:f>
      </x:c>
      <x:c r="N93" s="75" t="str">
        <x:f>IF($E93="","",L93+M93)</x:f>
      </x:c>
      <x:c r="O93" s="75" t="str">
        <x:f>IF($E93="","",SUMIFS('Input_Inventory'!$G$4:$G$200,'Input_Inventory'!$C$4:$C$200,E93))</x:f>
      </x:c>
      <x:c r="P93" s="75" t="str">
        <x:f>IF($E93="","",SUMIFS('Input_Inventory'!$L$4:$L$200,'Input_Inventory'!$C$4:$C$200,E93,'Input_Inventory'!$F$4:$F$200,B93))</x:f>
      </x:c>
      <x:c r="Q93" s="75" t="str">
        <x:f>IF($E93="","",O93+P93)</x:f>
      </x:c>
      <x:c r="R93" s="75" t="str">
        <x:f>IF($E93="","",MAX(0,N93-Q93))</x:f>
      </x:c>
      <x:c r="S93" s="75" t="str">
        <x:f>IF($E93="","",SUMIFS('Master_Rules'!$G$4:$G$200,'Master_Rules'!$D$4:$D$200,E93))</x:f>
      </x:c>
      <x:c r="T93" s="75" t="str">
        <x:f>IF($E93="","",IF(S93=0,R93,MAX(S93,CEILING(R93,SUMIFS('Master_Rules'!$H$4:$H$200,'Master_Rules'!$D$4:$D$200,E93)))))</x:f>
      </x:c>
      <x:c r="U93" s="75" t="str">
        <x:f>IF($E93="","",T93*SUMIFS('Master_Rules'!$J$4:$J$200,'Master_Rules'!$D$4:$D$200,E93))</x:f>
      </x:c>
      <x:c r="V93" s="83" t="str">
        <x:f>IF($E93="","",IF(T93&gt;R93,"MOQ 조정",IF(K93="Y","필수품 확인","정상")))</x:f>
      </x:c>
    </x:row>
    <x:row r="94">
      <x:c r="A94" s="71"/>
      <x:c r="B94" s="71"/>
      <x:c r="C94" s="72"/>
      <x:c r="D94" s="72"/>
      <x:c r="E94" s="72"/>
      <x:c r="F94" s="72"/>
      <x:c r="G94" s="72"/>
      <x:c r="H94" s="81" t="str">
        <x:f>IF($E94="","",SUMIFS('Input_OL'!$K$4:$K$200,'Input_OL'!$C$4:$C$200,C94,'Input_OL'!$F$4:$F$200,B94))</x:f>
      </x:c>
      <x:c r="I94" s="81" t="str">
        <x:f>IF($E94="","",SUMIFS('Master_BOM'!$F$4:$F$200,'Master_BOM'!$A$4:$A$200,C94,'Master_BOM'!$C$4:$C$200,E94))</x:f>
      </x:c>
      <x:c r="J94" s="82" t="str">
        <x:f>IF($E94="","",SUMIFS('Master_BOM'!$G$4:$G$200,'Master_BOM'!$A$4:$A$200,C94,'Master_BOM'!$C$4:$C$200,E94))</x:f>
      </x:c>
      <x:c r="K94" s="83" t="str">
        <x:f>IF($E94="","",SUMIFS('Master_BOM'!$H$4:$H$200,'Master_BOM'!$A$4:$A$200,C94,'Master_BOM'!$C$4:$C$200,E94))</x:f>
      </x:c>
      <x:c r="L94" s="75" t="str">
        <x:f>IF($E94="","",IF(K94="Y",H94*I94,H94*I94*J94))</x:f>
      </x:c>
      <x:c r="M94" s="75" t="str">
        <x:f>IF($E94="","",IFERROR(SUMIFS('Master_BOM'!$J$4:$J$200,'Master_BOM'!$C$4:$C$200,E94),0))</x:f>
      </x:c>
      <x:c r="N94" s="75" t="str">
        <x:f>IF($E94="","",L94+M94)</x:f>
      </x:c>
      <x:c r="O94" s="75" t="str">
        <x:f>IF($E94="","",SUMIFS('Input_Inventory'!$G$4:$G$200,'Input_Inventory'!$C$4:$C$200,E94))</x:f>
      </x:c>
      <x:c r="P94" s="75" t="str">
        <x:f>IF($E94="","",SUMIFS('Input_Inventory'!$L$4:$L$200,'Input_Inventory'!$C$4:$C$200,E94,'Input_Inventory'!$F$4:$F$200,B94))</x:f>
      </x:c>
      <x:c r="Q94" s="75" t="str">
        <x:f>IF($E94="","",O94+P94)</x:f>
      </x:c>
      <x:c r="R94" s="75" t="str">
        <x:f>IF($E94="","",MAX(0,N94-Q94))</x:f>
      </x:c>
      <x:c r="S94" s="75" t="str">
        <x:f>IF($E94="","",SUMIFS('Master_Rules'!$G$4:$G$200,'Master_Rules'!$D$4:$D$200,E94))</x:f>
      </x:c>
      <x:c r="T94" s="75" t="str">
        <x:f>IF($E94="","",IF(S94=0,R94,MAX(S94,CEILING(R94,SUMIFS('Master_Rules'!$H$4:$H$200,'Master_Rules'!$D$4:$D$200,E94)))))</x:f>
      </x:c>
      <x:c r="U94" s="75" t="str">
        <x:f>IF($E94="","",T94*SUMIFS('Master_Rules'!$J$4:$J$200,'Master_Rules'!$D$4:$D$200,E94))</x:f>
      </x:c>
      <x:c r="V94" s="83" t="str">
        <x:f>IF($E94="","",IF(T94&gt;R94,"MOQ 조정",IF(K94="Y","필수품 확인","정상")))</x:f>
      </x:c>
    </x:row>
    <x:row r="95">
      <x:c r="A95" s="71"/>
      <x:c r="B95" s="71"/>
      <x:c r="C95" s="72"/>
      <x:c r="D95" s="72"/>
      <x:c r="E95" s="72"/>
      <x:c r="F95" s="72"/>
      <x:c r="G95" s="72"/>
      <x:c r="H95" s="81" t="str">
        <x:f>IF($E95="","",SUMIFS('Input_OL'!$K$4:$K$200,'Input_OL'!$C$4:$C$200,C95,'Input_OL'!$F$4:$F$200,B95))</x:f>
      </x:c>
      <x:c r="I95" s="81" t="str">
        <x:f>IF($E95="","",SUMIFS('Master_BOM'!$F$4:$F$200,'Master_BOM'!$A$4:$A$200,C95,'Master_BOM'!$C$4:$C$200,E95))</x:f>
      </x:c>
      <x:c r="J95" s="82" t="str">
        <x:f>IF($E95="","",SUMIFS('Master_BOM'!$G$4:$G$200,'Master_BOM'!$A$4:$A$200,C95,'Master_BOM'!$C$4:$C$200,E95))</x:f>
      </x:c>
      <x:c r="K95" s="83" t="str">
        <x:f>IF($E95="","",SUMIFS('Master_BOM'!$H$4:$H$200,'Master_BOM'!$A$4:$A$200,C95,'Master_BOM'!$C$4:$C$200,E95))</x:f>
      </x:c>
      <x:c r="L95" s="75" t="str">
        <x:f>IF($E95="","",IF(K95="Y",H95*I95,H95*I95*J95))</x:f>
      </x:c>
      <x:c r="M95" s="75" t="str">
        <x:f>IF($E95="","",IFERROR(SUMIFS('Master_BOM'!$J$4:$J$200,'Master_BOM'!$C$4:$C$200,E95),0))</x:f>
      </x:c>
      <x:c r="N95" s="75" t="str">
        <x:f>IF($E95="","",L95+M95)</x:f>
      </x:c>
      <x:c r="O95" s="75" t="str">
        <x:f>IF($E95="","",SUMIFS('Input_Inventory'!$G$4:$G$200,'Input_Inventory'!$C$4:$C$200,E95))</x:f>
      </x:c>
      <x:c r="P95" s="75" t="str">
        <x:f>IF($E95="","",SUMIFS('Input_Inventory'!$L$4:$L$200,'Input_Inventory'!$C$4:$C$200,E95,'Input_Inventory'!$F$4:$F$200,B95))</x:f>
      </x:c>
      <x:c r="Q95" s="75" t="str">
        <x:f>IF($E95="","",O95+P95)</x:f>
      </x:c>
      <x:c r="R95" s="75" t="str">
        <x:f>IF($E95="","",MAX(0,N95-Q95))</x:f>
      </x:c>
      <x:c r="S95" s="75" t="str">
        <x:f>IF($E95="","",SUMIFS('Master_Rules'!$G$4:$G$200,'Master_Rules'!$D$4:$D$200,E95))</x:f>
      </x:c>
      <x:c r="T95" s="75" t="str">
        <x:f>IF($E95="","",IF(S95=0,R95,MAX(S95,CEILING(R95,SUMIFS('Master_Rules'!$H$4:$H$200,'Master_Rules'!$D$4:$D$200,E95)))))</x:f>
      </x:c>
      <x:c r="U95" s="75" t="str">
        <x:f>IF($E95="","",T95*SUMIFS('Master_Rules'!$J$4:$J$200,'Master_Rules'!$D$4:$D$200,E95))</x:f>
      </x:c>
      <x:c r="V95" s="83" t="str">
        <x:f>IF($E95="","",IF(T95&gt;R95,"MOQ 조정",IF(K95="Y","필수품 확인","정상")))</x:f>
      </x:c>
    </x:row>
    <x:row r="96">
      <x:c r="A96" s="71"/>
      <x:c r="B96" s="71"/>
      <x:c r="C96" s="72"/>
      <x:c r="D96" s="72"/>
      <x:c r="E96" s="72"/>
      <x:c r="F96" s="72"/>
      <x:c r="G96" s="72"/>
      <x:c r="H96" s="81" t="str">
        <x:f>IF($E96="","",SUMIFS('Input_OL'!$K$4:$K$200,'Input_OL'!$C$4:$C$200,C96,'Input_OL'!$F$4:$F$200,B96))</x:f>
      </x:c>
      <x:c r="I96" s="81" t="str">
        <x:f>IF($E96="","",SUMIFS('Master_BOM'!$F$4:$F$200,'Master_BOM'!$A$4:$A$200,C96,'Master_BOM'!$C$4:$C$200,E96))</x:f>
      </x:c>
      <x:c r="J96" s="82" t="str">
        <x:f>IF($E96="","",SUMIFS('Master_BOM'!$G$4:$G$200,'Master_BOM'!$A$4:$A$200,C96,'Master_BOM'!$C$4:$C$200,E96))</x:f>
      </x:c>
      <x:c r="K96" s="83" t="str">
        <x:f>IF($E96="","",SUMIFS('Master_BOM'!$H$4:$H$200,'Master_BOM'!$A$4:$A$200,C96,'Master_BOM'!$C$4:$C$200,E96))</x:f>
      </x:c>
      <x:c r="L96" s="75" t="str">
        <x:f>IF($E96="","",IF(K96="Y",H96*I96,H96*I96*J96))</x:f>
      </x:c>
      <x:c r="M96" s="75" t="str">
        <x:f>IF($E96="","",IFERROR(SUMIFS('Master_BOM'!$J$4:$J$200,'Master_BOM'!$C$4:$C$200,E96),0))</x:f>
      </x:c>
      <x:c r="N96" s="75" t="str">
        <x:f>IF($E96="","",L96+M96)</x:f>
      </x:c>
      <x:c r="O96" s="75" t="str">
        <x:f>IF($E96="","",SUMIFS('Input_Inventory'!$G$4:$G$200,'Input_Inventory'!$C$4:$C$200,E96))</x:f>
      </x:c>
      <x:c r="P96" s="75" t="str">
        <x:f>IF($E96="","",SUMIFS('Input_Inventory'!$L$4:$L$200,'Input_Inventory'!$C$4:$C$200,E96,'Input_Inventory'!$F$4:$F$200,B96))</x:f>
      </x:c>
      <x:c r="Q96" s="75" t="str">
        <x:f>IF($E96="","",O96+P96)</x:f>
      </x:c>
      <x:c r="R96" s="75" t="str">
        <x:f>IF($E96="","",MAX(0,N96-Q96))</x:f>
      </x:c>
      <x:c r="S96" s="75" t="str">
        <x:f>IF($E96="","",SUMIFS('Master_Rules'!$G$4:$G$200,'Master_Rules'!$D$4:$D$200,E96))</x:f>
      </x:c>
      <x:c r="T96" s="75" t="str">
        <x:f>IF($E96="","",IF(S96=0,R96,MAX(S96,CEILING(R96,SUMIFS('Master_Rules'!$H$4:$H$200,'Master_Rules'!$D$4:$D$200,E96)))))</x:f>
      </x:c>
      <x:c r="U96" s="75" t="str">
        <x:f>IF($E96="","",T96*SUMIFS('Master_Rules'!$J$4:$J$200,'Master_Rules'!$D$4:$D$200,E96))</x:f>
      </x:c>
      <x:c r="V96" s="83" t="str">
        <x:f>IF($E96="","",IF(T96&gt;R96,"MOQ 조정",IF(K96="Y","필수품 확인","정상")))</x:f>
      </x:c>
    </x:row>
    <x:row r="97">
      <x:c r="A97" s="71"/>
      <x:c r="B97" s="71"/>
      <x:c r="C97" s="72"/>
      <x:c r="D97" s="72"/>
      <x:c r="E97" s="72"/>
      <x:c r="F97" s="72"/>
      <x:c r="G97" s="72"/>
      <x:c r="H97" s="81" t="str">
        <x:f>IF($E97="","",SUMIFS('Input_OL'!$K$4:$K$200,'Input_OL'!$C$4:$C$200,C97,'Input_OL'!$F$4:$F$200,B97))</x:f>
      </x:c>
      <x:c r="I97" s="81" t="str">
        <x:f>IF($E97="","",SUMIFS('Master_BOM'!$F$4:$F$200,'Master_BOM'!$A$4:$A$200,C97,'Master_BOM'!$C$4:$C$200,E97))</x:f>
      </x:c>
      <x:c r="J97" s="82" t="str">
        <x:f>IF($E97="","",SUMIFS('Master_BOM'!$G$4:$G$200,'Master_BOM'!$A$4:$A$200,C97,'Master_BOM'!$C$4:$C$200,E97))</x:f>
      </x:c>
      <x:c r="K97" s="83" t="str">
        <x:f>IF($E97="","",SUMIFS('Master_BOM'!$H$4:$H$200,'Master_BOM'!$A$4:$A$200,C97,'Master_BOM'!$C$4:$C$200,E97))</x:f>
      </x:c>
      <x:c r="L97" s="75" t="str">
        <x:f>IF($E97="","",IF(K97="Y",H97*I97,H97*I97*J97))</x:f>
      </x:c>
      <x:c r="M97" s="75" t="str">
        <x:f>IF($E97="","",IFERROR(SUMIFS('Master_BOM'!$J$4:$J$200,'Master_BOM'!$C$4:$C$200,E97),0))</x:f>
      </x:c>
      <x:c r="N97" s="75" t="str">
        <x:f>IF($E97="","",L97+M97)</x:f>
      </x:c>
      <x:c r="O97" s="75" t="str">
        <x:f>IF($E97="","",SUMIFS('Input_Inventory'!$G$4:$G$200,'Input_Inventory'!$C$4:$C$200,E97))</x:f>
      </x:c>
      <x:c r="P97" s="75" t="str">
        <x:f>IF($E97="","",SUMIFS('Input_Inventory'!$L$4:$L$200,'Input_Inventory'!$C$4:$C$200,E97,'Input_Inventory'!$F$4:$F$200,B97))</x:f>
      </x:c>
      <x:c r="Q97" s="75" t="str">
        <x:f>IF($E97="","",O97+P97)</x:f>
      </x:c>
      <x:c r="R97" s="75" t="str">
        <x:f>IF($E97="","",MAX(0,N97-Q97))</x:f>
      </x:c>
      <x:c r="S97" s="75" t="str">
        <x:f>IF($E97="","",SUMIFS('Master_Rules'!$G$4:$G$200,'Master_Rules'!$D$4:$D$200,E97))</x:f>
      </x:c>
      <x:c r="T97" s="75" t="str">
        <x:f>IF($E97="","",IF(S97=0,R97,MAX(S97,CEILING(R97,SUMIFS('Master_Rules'!$H$4:$H$200,'Master_Rules'!$D$4:$D$200,E97)))))</x:f>
      </x:c>
      <x:c r="U97" s="75" t="str">
        <x:f>IF($E97="","",T97*SUMIFS('Master_Rules'!$J$4:$J$200,'Master_Rules'!$D$4:$D$200,E97))</x:f>
      </x:c>
      <x:c r="V97" s="83" t="str">
        <x:f>IF($E97="","",IF(T97&gt;R97,"MOQ 조정",IF(K97="Y","필수품 확인","정상")))</x:f>
      </x:c>
    </x:row>
    <x:row r="98">
      <x:c r="A98" s="71"/>
      <x:c r="B98" s="71"/>
      <x:c r="C98" s="72"/>
      <x:c r="D98" s="72"/>
      <x:c r="E98" s="72"/>
      <x:c r="F98" s="72"/>
      <x:c r="G98" s="72"/>
      <x:c r="H98" s="81" t="str">
        <x:f>IF($E98="","",SUMIFS('Input_OL'!$K$4:$K$200,'Input_OL'!$C$4:$C$200,C98,'Input_OL'!$F$4:$F$200,B98))</x:f>
      </x:c>
      <x:c r="I98" s="81" t="str">
        <x:f>IF($E98="","",SUMIFS('Master_BOM'!$F$4:$F$200,'Master_BOM'!$A$4:$A$200,C98,'Master_BOM'!$C$4:$C$200,E98))</x:f>
      </x:c>
      <x:c r="J98" s="82" t="str">
        <x:f>IF($E98="","",SUMIFS('Master_BOM'!$G$4:$G$200,'Master_BOM'!$A$4:$A$200,C98,'Master_BOM'!$C$4:$C$200,E98))</x:f>
      </x:c>
      <x:c r="K98" s="83" t="str">
        <x:f>IF($E98="","",SUMIFS('Master_BOM'!$H$4:$H$200,'Master_BOM'!$A$4:$A$200,C98,'Master_BOM'!$C$4:$C$200,E98))</x:f>
      </x:c>
      <x:c r="L98" s="75" t="str">
        <x:f>IF($E98="","",IF(K98="Y",H98*I98,H98*I98*J98))</x:f>
      </x:c>
      <x:c r="M98" s="75" t="str">
        <x:f>IF($E98="","",IFERROR(SUMIFS('Master_BOM'!$J$4:$J$200,'Master_BOM'!$C$4:$C$200,E98),0))</x:f>
      </x:c>
      <x:c r="N98" s="75" t="str">
        <x:f>IF($E98="","",L98+M98)</x:f>
      </x:c>
      <x:c r="O98" s="75" t="str">
        <x:f>IF($E98="","",SUMIFS('Input_Inventory'!$G$4:$G$200,'Input_Inventory'!$C$4:$C$200,E98))</x:f>
      </x:c>
      <x:c r="P98" s="75" t="str">
        <x:f>IF($E98="","",SUMIFS('Input_Inventory'!$L$4:$L$200,'Input_Inventory'!$C$4:$C$200,E98,'Input_Inventory'!$F$4:$F$200,B98))</x:f>
      </x:c>
      <x:c r="Q98" s="75" t="str">
        <x:f>IF($E98="","",O98+P98)</x:f>
      </x:c>
      <x:c r="R98" s="75" t="str">
        <x:f>IF($E98="","",MAX(0,N98-Q98))</x:f>
      </x:c>
      <x:c r="S98" s="75" t="str">
        <x:f>IF($E98="","",SUMIFS('Master_Rules'!$G$4:$G$200,'Master_Rules'!$D$4:$D$200,E98))</x:f>
      </x:c>
      <x:c r="T98" s="75" t="str">
        <x:f>IF($E98="","",IF(S98=0,R98,MAX(S98,CEILING(R98,SUMIFS('Master_Rules'!$H$4:$H$200,'Master_Rules'!$D$4:$D$200,E98)))))</x:f>
      </x:c>
      <x:c r="U98" s="75" t="str">
        <x:f>IF($E98="","",T98*SUMIFS('Master_Rules'!$J$4:$J$200,'Master_Rules'!$D$4:$D$200,E98))</x:f>
      </x:c>
      <x:c r="V98" s="83" t="str">
        <x:f>IF($E98="","",IF(T98&gt;R98,"MOQ 조정",IF(K98="Y","필수품 확인","정상")))</x:f>
      </x:c>
    </x:row>
    <x:row r="99">
      <x:c r="A99" s="71"/>
      <x:c r="B99" s="71"/>
      <x:c r="C99" s="72"/>
      <x:c r="D99" s="72"/>
      <x:c r="E99" s="72"/>
      <x:c r="F99" s="72"/>
      <x:c r="G99" s="72"/>
      <x:c r="H99" s="81" t="str">
        <x:f>IF($E99="","",SUMIFS('Input_OL'!$K$4:$K$200,'Input_OL'!$C$4:$C$200,C99,'Input_OL'!$F$4:$F$200,B99))</x:f>
      </x:c>
      <x:c r="I99" s="81" t="str">
        <x:f>IF($E99="","",SUMIFS('Master_BOM'!$F$4:$F$200,'Master_BOM'!$A$4:$A$200,C99,'Master_BOM'!$C$4:$C$200,E99))</x:f>
      </x:c>
      <x:c r="J99" s="82" t="str">
        <x:f>IF($E99="","",SUMIFS('Master_BOM'!$G$4:$G$200,'Master_BOM'!$A$4:$A$200,C99,'Master_BOM'!$C$4:$C$200,E99))</x:f>
      </x:c>
      <x:c r="K99" s="83" t="str">
        <x:f>IF($E99="","",SUMIFS('Master_BOM'!$H$4:$H$200,'Master_BOM'!$A$4:$A$200,C99,'Master_BOM'!$C$4:$C$200,E99))</x:f>
      </x:c>
      <x:c r="L99" s="75" t="str">
        <x:f>IF($E99="","",IF(K99="Y",H99*I99,H99*I99*J99))</x:f>
      </x:c>
      <x:c r="M99" s="75" t="str">
        <x:f>IF($E99="","",IFERROR(SUMIFS('Master_BOM'!$J$4:$J$200,'Master_BOM'!$C$4:$C$200,E99),0))</x:f>
      </x:c>
      <x:c r="N99" s="75" t="str">
        <x:f>IF($E99="","",L99+M99)</x:f>
      </x:c>
      <x:c r="O99" s="75" t="str">
        <x:f>IF($E99="","",SUMIFS('Input_Inventory'!$G$4:$G$200,'Input_Inventory'!$C$4:$C$200,E99))</x:f>
      </x:c>
      <x:c r="P99" s="75" t="str">
        <x:f>IF($E99="","",SUMIFS('Input_Inventory'!$L$4:$L$200,'Input_Inventory'!$C$4:$C$200,E99,'Input_Inventory'!$F$4:$F$200,B99))</x:f>
      </x:c>
      <x:c r="Q99" s="75" t="str">
        <x:f>IF($E99="","",O99+P99)</x:f>
      </x:c>
      <x:c r="R99" s="75" t="str">
        <x:f>IF($E99="","",MAX(0,N99-Q99))</x:f>
      </x:c>
      <x:c r="S99" s="75" t="str">
        <x:f>IF($E99="","",SUMIFS('Master_Rules'!$G$4:$G$200,'Master_Rules'!$D$4:$D$200,E99))</x:f>
      </x:c>
      <x:c r="T99" s="75" t="str">
        <x:f>IF($E99="","",IF(S99=0,R99,MAX(S99,CEILING(R99,SUMIFS('Master_Rules'!$H$4:$H$200,'Master_Rules'!$D$4:$D$200,E99)))))</x:f>
      </x:c>
      <x:c r="U99" s="75" t="str">
        <x:f>IF($E99="","",T99*SUMIFS('Master_Rules'!$J$4:$J$200,'Master_Rules'!$D$4:$D$200,E99))</x:f>
      </x:c>
      <x:c r="V99" s="83" t="str">
        <x:f>IF($E99="","",IF(T99&gt;R99,"MOQ 조정",IF(K99="Y","필수품 확인","정상")))</x:f>
      </x:c>
    </x:row>
    <x:row r="100">
      <x:c r="A100" s="71"/>
      <x:c r="B100" s="71"/>
      <x:c r="C100" s="72"/>
      <x:c r="D100" s="72"/>
      <x:c r="E100" s="72"/>
      <x:c r="F100" s="72"/>
      <x:c r="G100" s="72"/>
      <x:c r="H100" s="81" t="str">
        <x:f>IF($E100="","",SUMIFS('Input_OL'!$K$4:$K$200,'Input_OL'!$C$4:$C$200,C100,'Input_OL'!$F$4:$F$200,B100))</x:f>
      </x:c>
      <x:c r="I100" s="81" t="str">
        <x:f>IF($E100="","",SUMIFS('Master_BOM'!$F$4:$F$200,'Master_BOM'!$A$4:$A$200,C100,'Master_BOM'!$C$4:$C$200,E100))</x:f>
      </x:c>
      <x:c r="J100" s="82" t="str">
        <x:f>IF($E100="","",SUMIFS('Master_BOM'!$G$4:$G$200,'Master_BOM'!$A$4:$A$200,C100,'Master_BOM'!$C$4:$C$200,E100))</x:f>
      </x:c>
      <x:c r="K100" s="83" t="str">
        <x:f>IF($E100="","",SUMIFS('Master_BOM'!$H$4:$H$200,'Master_BOM'!$A$4:$A$200,C100,'Master_BOM'!$C$4:$C$200,E100))</x:f>
      </x:c>
      <x:c r="L100" s="75" t="str">
        <x:f>IF($E100="","",IF(K100="Y",H100*I100,H100*I100*J100))</x:f>
      </x:c>
      <x:c r="M100" s="75" t="str">
        <x:f>IF($E100="","",IFERROR(SUMIFS('Master_BOM'!$J$4:$J$200,'Master_BOM'!$C$4:$C$200,E100),0))</x:f>
      </x:c>
      <x:c r="N100" s="75" t="str">
        <x:f>IF($E100="","",L100+M100)</x:f>
      </x:c>
      <x:c r="O100" s="75" t="str">
        <x:f>IF($E100="","",SUMIFS('Input_Inventory'!$G$4:$G$200,'Input_Inventory'!$C$4:$C$200,E100))</x:f>
      </x:c>
      <x:c r="P100" s="75" t="str">
        <x:f>IF($E100="","",SUMIFS('Input_Inventory'!$L$4:$L$200,'Input_Inventory'!$C$4:$C$200,E100,'Input_Inventory'!$F$4:$F$200,B100))</x:f>
      </x:c>
      <x:c r="Q100" s="75" t="str">
        <x:f>IF($E100="","",O100+P100)</x:f>
      </x:c>
      <x:c r="R100" s="75" t="str">
        <x:f>IF($E100="","",MAX(0,N100-Q100))</x:f>
      </x:c>
      <x:c r="S100" s="75" t="str">
        <x:f>IF($E100="","",SUMIFS('Master_Rules'!$G$4:$G$200,'Master_Rules'!$D$4:$D$200,E100))</x:f>
      </x:c>
      <x:c r="T100" s="75" t="str">
        <x:f>IF($E100="","",IF(S100=0,R100,MAX(S100,CEILING(R100,SUMIFS('Master_Rules'!$H$4:$H$200,'Master_Rules'!$D$4:$D$200,E100)))))</x:f>
      </x:c>
      <x:c r="U100" s="75" t="str">
        <x:f>IF($E100="","",T100*SUMIFS('Master_Rules'!$J$4:$J$200,'Master_Rules'!$D$4:$D$200,E100))</x:f>
      </x:c>
      <x:c r="V100" s="83" t="str">
        <x:f>IF($E100="","",IF(T100&gt;R100,"MOQ 조정",IF(K100="Y","필수품 확인","정상")))</x:f>
      </x:c>
    </x:row>
    <x:row r="101">
      <x:c r="A101" s="71"/>
      <x:c r="B101" s="71"/>
      <x:c r="C101" s="72"/>
      <x:c r="D101" s="72"/>
      <x:c r="E101" s="72"/>
      <x:c r="F101" s="72"/>
      <x:c r="G101" s="72"/>
      <x:c r="H101" s="81" t="str">
        <x:f>IF($E101="","",SUMIFS('Input_OL'!$K$4:$K$200,'Input_OL'!$C$4:$C$200,C101,'Input_OL'!$F$4:$F$200,B101))</x:f>
      </x:c>
      <x:c r="I101" s="81" t="str">
        <x:f>IF($E101="","",SUMIFS('Master_BOM'!$F$4:$F$200,'Master_BOM'!$A$4:$A$200,C101,'Master_BOM'!$C$4:$C$200,E101))</x:f>
      </x:c>
      <x:c r="J101" s="82" t="str">
        <x:f>IF($E101="","",SUMIFS('Master_BOM'!$G$4:$G$200,'Master_BOM'!$A$4:$A$200,C101,'Master_BOM'!$C$4:$C$200,E101))</x:f>
      </x:c>
      <x:c r="K101" s="83" t="str">
        <x:f>IF($E101="","",SUMIFS('Master_BOM'!$H$4:$H$200,'Master_BOM'!$A$4:$A$200,C101,'Master_BOM'!$C$4:$C$200,E101))</x:f>
      </x:c>
      <x:c r="L101" s="75" t="str">
        <x:f>IF($E101="","",IF(K101="Y",H101*I101,H101*I101*J101))</x:f>
      </x:c>
      <x:c r="M101" s="75" t="str">
        <x:f>IF($E101="","",IFERROR(SUMIFS('Master_BOM'!$J$4:$J$200,'Master_BOM'!$C$4:$C$200,E101),0))</x:f>
      </x:c>
      <x:c r="N101" s="75" t="str">
        <x:f>IF($E101="","",L101+M101)</x:f>
      </x:c>
      <x:c r="O101" s="75" t="str">
        <x:f>IF($E101="","",SUMIFS('Input_Inventory'!$G$4:$G$200,'Input_Inventory'!$C$4:$C$200,E101))</x:f>
      </x:c>
      <x:c r="P101" s="75" t="str">
        <x:f>IF($E101="","",SUMIFS('Input_Inventory'!$L$4:$L$200,'Input_Inventory'!$C$4:$C$200,E101,'Input_Inventory'!$F$4:$F$200,B101))</x:f>
      </x:c>
      <x:c r="Q101" s="75" t="str">
        <x:f>IF($E101="","",O101+P101)</x:f>
      </x:c>
      <x:c r="R101" s="75" t="str">
        <x:f>IF($E101="","",MAX(0,N101-Q101))</x:f>
      </x:c>
      <x:c r="S101" s="75" t="str">
        <x:f>IF($E101="","",SUMIFS('Master_Rules'!$G$4:$G$200,'Master_Rules'!$D$4:$D$200,E101))</x:f>
      </x:c>
      <x:c r="T101" s="75" t="str">
        <x:f>IF($E101="","",IF(S101=0,R101,MAX(S101,CEILING(R101,SUMIFS('Master_Rules'!$H$4:$H$200,'Master_Rules'!$D$4:$D$200,E101)))))</x:f>
      </x:c>
      <x:c r="U101" s="75" t="str">
        <x:f>IF($E101="","",T101*SUMIFS('Master_Rules'!$J$4:$J$200,'Master_Rules'!$D$4:$D$200,E101))</x:f>
      </x:c>
      <x:c r="V101" s="83" t="str">
        <x:f>IF($E101="","",IF(T101&gt;R101,"MOQ 조정",IF(K101="Y","필수품 확인","정상")))</x:f>
      </x:c>
    </x:row>
    <x:row r="102">
      <x:c r="A102" s="71"/>
      <x:c r="B102" s="71"/>
      <x:c r="C102" s="72"/>
      <x:c r="D102" s="72"/>
      <x:c r="E102" s="72"/>
      <x:c r="F102" s="72"/>
      <x:c r="G102" s="72"/>
      <x:c r="H102" s="81" t="str">
        <x:f>IF($E102="","",SUMIFS('Input_OL'!$K$4:$K$200,'Input_OL'!$C$4:$C$200,C102,'Input_OL'!$F$4:$F$200,B102))</x:f>
      </x:c>
      <x:c r="I102" s="81" t="str">
        <x:f>IF($E102="","",SUMIFS('Master_BOM'!$F$4:$F$200,'Master_BOM'!$A$4:$A$200,C102,'Master_BOM'!$C$4:$C$200,E102))</x:f>
      </x:c>
      <x:c r="J102" s="82" t="str">
        <x:f>IF($E102="","",SUMIFS('Master_BOM'!$G$4:$G$200,'Master_BOM'!$A$4:$A$200,C102,'Master_BOM'!$C$4:$C$200,E102))</x:f>
      </x:c>
      <x:c r="K102" s="83" t="str">
        <x:f>IF($E102="","",SUMIFS('Master_BOM'!$H$4:$H$200,'Master_BOM'!$A$4:$A$200,C102,'Master_BOM'!$C$4:$C$200,E102))</x:f>
      </x:c>
      <x:c r="L102" s="75" t="str">
        <x:f>IF($E102="","",IF(K102="Y",H102*I102,H102*I102*J102))</x:f>
      </x:c>
      <x:c r="M102" s="75" t="str">
        <x:f>IF($E102="","",IFERROR(SUMIFS('Master_BOM'!$J$4:$J$200,'Master_BOM'!$C$4:$C$200,E102),0))</x:f>
      </x:c>
      <x:c r="N102" s="75" t="str">
        <x:f>IF($E102="","",L102+M102)</x:f>
      </x:c>
      <x:c r="O102" s="75" t="str">
        <x:f>IF($E102="","",SUMIFS('Input_Inventory'!$G$4:$G$200,'Input_Inventory'!$C$4:$C$200,E102))</x:f>
      </x:c>
      <x:c r="P102" s="75" t="str">
        <x:f>IF($E102="","",SUMIFS('Input_Inventory'!$L$4:$L$200,'Input_Inventory'!$C$4:$C$200,E102,'Input_Inventory'!$F$4:$F$200,B102))</x:f>
      </x:c>
      <x:c r="Q102" s="75" t="str">
        <x:f>IF($E102="","",O102+P102)</x:f>
      </x:c>
      <x:c r="R102" s="75" t="str">
        <x:f>IF($E102="","",MAX(0,N102-Q102))</x:f>
      </x:c>
      <x:c r="S102" s="75" t="str">
        <x:f>IF($E102="","",SUMIFS('Master_Rules'!$G$4:$G$200,'Master_Rules'!$D$4:$D$200,E102))</x:f>
      </x:c>
      <x:c r="T102" s="75" t="str">
        <x:f>IF($E102="","",IF(S102=0,R102,MAX(S102,CEILING(R102,SUMIFS('Master_Rules'!$H$4:$H$200,'Master_Rules'!$D$4:$D$200,E102)))))</x:f>
      </x:c>
      <x:c r="U102" s="75" t="str">
        <x:f>IF($E102="","",T102*SUMIFS('Master_Rules'!$J$4:$J$200,'Master_Rules'!$D$4:$D$200,E102))</x:f>
      </x:c>
      <x:c r="V102" s="83" t="str">
        <x:f>IF($E102="","",IF(T102&gt;R102,"MOQ 조정",IF(K102="Y","필수품 확인","정상")))</x:f>
      </x:c>
    </x:row>
    <x:row r="103">
      <x:c r="A103" s="71"/>
      <x:c r="B103" s="71"/>
      <x:c r="C103" s="72"/>
      <x:c r="D103" s="72"/>
      <x:c r="E103" s="72"/>
      <x:c r="F103" s="72"/>
      <x:c r="G103" s="72"/>
      <x:c r="H103" s="81" t="str">
        <x:f>IF($E103="","",SUMIFS('Input_OL'!$K$4:$K$200,'Input_OL'!$C$4:$C$200,C103,'Input_OL'!$F$4:$F$200,B103))</x:f>
      </x:c>
      <x:c r="I103" s="81" t="str">
        <x:f>IF($E103="","",SUMIFS('Master_BOM'!$F$4:$F$200,'Master_BOM'!$A$4:$A$200,C103,'Master_BOM'!$C$4:$C$200,E103))</x:f>
      </x:c>
      <x:c r="J103" s="82" t="str">
        <x:f>IF($E103="","",SUMIFS('Master_BOM'!$G$4:$G$200,'Master_BOM'!$A$4:$A$200,C103,'Master_BOM'!$C$4:$C$200,E103))</x:f>
      </x:c>
      <x:c r="K103" s="83" t="str">
        <x:f>IF($E103="","",SUMIFS('Master_BOM'!$H$4:$H$200,'Master_BOM'!$A$4:$A$200,C103,'Master_BOM'!$C$4:$C$200,E103))</x:f>
      </x:c>
      <x:c r="L103" s="75" t="str">
        <x:f>IF($E103="","",IF(K103="Y",H103*I103,H103*I103*J103))</x:f>
      </x:c>
      <x:c r="M103" s="75" t="str">
        <x:f>IF($E103="","",IFERROR(SUMIFS('Master_BOM'!$J$4:$J$200,'Master_BOM'!$C$4:$C$200,E103),0))</x:f>
      </x:c>
      <x:c r="N103" s="75" t="str">
        <x:f>IF($E103="","",L103+M103)</x:f>
      </x:c>
      <x:c r="O103" s="75" t="str">
        <x:f>IF($E103="","",SUMIFS('Input_Inventory'!$G$4:$G$200,'Input_Inventory'!$C$4:$C$200,E103))</x:f>
      </x:c>
      <x:c r="P103" s="75" t="str">
        <x:f>IF($E103="","",SUMIFS('Input_Inventory'!$L$4:$L$200,'Input_Inventory'!$C$4:$C$200,E103,'Input_Inventory'!$F$4:$F$200,B103))</x:f>
      </x:c>
      <x:c r="Q103" s="75" t="str">
        <x:f>IF($E103="","",O103+P103)</x:f>
      </x:c>
      <x:c r="R103" s="75" t="str">
        <x:f>IF($E103="","",MAX(0,N103-Q103))</x:f>
      </x:c>
      <x:c r="S103" s="75" t="str">
        <x:f>IF($E103="","",SUMIFS('Master_Rules'!$G$4:$G$200,'Master_Rules'!$D$4:$D$200,E103))</x:f>
      </x:c>
      <x:c r="T103" s="75" t="str">
        <x:f>IF($E103="","",IF(S103=0,R103,MAX(S103,CEILING(R103,SUMIFS('Master_Rules'!$H$4:$H$200,'Master_Rules'!$D$4:$D$200,E103)))))</x:f>
      </x:c>
      <x:c r="U103" s="75" t="str">
        <x:f>IF($E103="","",T103*SUMIFS('Master_Rules'!$J$4:$J$200,'Master_Rules'!$D$4:$D$200,E103))</x:f>
      </x:c>
      <x:c r="V103" s="83" t="str">
        <x:f>IF($E103="","",IF(T103&gt;R103,"MOQ 조정",IF(K103="Y","필수품 확인","정상")))</x:f>
      </x:c>
    </x:row>
    <x:row r="104">
      <x:c r="A104" s="71"/>
      <x:c r="B104" s="71"/>
      <x:c r="C104" s="72"/>
      <x:c r="D104" s="72"/>
      <x:c r="E104" s="72"/>
      <x:c r="F104" s="72"/>
      <x:c r="G104" s="72"/>
      <x:c r="H104" s="81" t="str">
        <x:f>IF($E104="","",SUMIFS('Input_OL'!$K$4:$K$200,'Input_OL'!$C$4:$C$200,C104,'Input_OL'!$F$4:$F$200,B104))</x:f>
      </x:c>
      <x:c r="I104" s="81" t="str">
        <x:f>IF($E104="","",SUMIFS('Master_BOM'!$F$4:$F$200,'Master_BOM'!$A$4:$A$200,C104,'Master_BOM'!$C$4:$C$200,E104))</x:f>
      </x:c>
      <x:c r="J104" s="82" t="str">
        <x:f>IF($E104="","",SUMIFS('Master_BOM'!$G$4:$G$200,'Master_BOM'!$A$4:$A$200,C104,'Master_BOM'!$C$4:$C$200,E104))</x:f>
      </x:c>
      <x:c r="K104" s="83" t="str">
        <x:f>IF($E104="","",SUMIFS('Master_BOM'!$H$4:$H$200,'Master_BOM'!$A$4:$A$200,C104,'Master_BOM'!$C$4:$C$200,E104))</x:f>
      </x:c>
      <x:c r="L104" s="75" t="str">
        <x:f>IF($E104="","",IF(K104="Y",H104*I104,H104*I104*J104))</x:f>
      </x:c>
      <x:c r="M104" s="75" t="str">
        <x:f>IF($E104="","",IFERROR(SUMIFS('Master_BOM'!$J$4:$J$200,'Master_BOM'!$C$4:$C$200,E104),0))</x:f>
      </x:c>
      <x:c r="N104" s="75" t="str">
        <x:f>IF($E104="","",L104+M104)</x:f>
      </x:c>
      <x:c r="O104" s="75" t="str">
        <x:f>IF($E104="","",SUMIFS('Input_Inventory'!$G$4:$G$200,'Input_Inventory'!$C$4:$C$200,E104))</x:f>
      </x:c>
      <x:c r="P104" s="75" t="str">
        <x:f>IF($E104="","",SUMIFS('Input_Inventory'!$L$4:$L$200,'Input_Inventory'!$C$4:$C$200,E104,'Input_Inventory'!$F$4:$F$200,B104))</x:f>
      </x:c>
      <x:c r="Q104" s="75" t="str">
        <x:f>IF($E104="","",O104+P104)</x:f>
      </x:c>
      <x:c r="R104" s="75" t="str">
        <x:f>IF($E104="","",MAX(0,N104-Q104))</x:f>
      </x:c>
      <x:c r="S104" s="75" t="str">
        <x:f>IF($E104="","",SUMIFS('Master_Rules'!$G$4:$G$200,'Master_Rules'!$D$4:$D$200,E104))</x:f>
      </x:c>
      <x:c r="T104" s="75" t="str">
        <x:f>IF($E104="","",IF(S104=0,R104,MAX(S104,CEILING(R104,SUMIFS('Master_Rules'!$H$4:$H$200,'Master_Rules'!$D$4:$D$200,E104)))))</x:f>
      </x:c>
      <x:c r="U104" s="75" t="str">
        <x:f>IF($E104="","",T104*SUMIFS('Master_Rules'!$J$4:$J$200,'Master_Rules'!$D$4:$D$200,E104))</x:f>
      </x:c>
      <x:c r="V104" s="83" t="str">
        <x:f>IF($E104="","",IF(T104&gt;R104,"MOQ 조정",IF(K104="Y","필수품 확인","정상")))</x:f>
      </x:c>
    </x:row>
    <x:row r="105">
      <x:c r="A105" s="71"/>
      <x:c r="B105" s="71"/>
      <x:c r="C105" s="72"/>
      <x:c r="D105" s="72"/>
      <x:c r="E105" s="72"/>
      <x:c r="F105" s="72"/>
      <x:c r="G105" s="72"/>
      <x:c r="H105" s="81" t="str">
        <x:f>IF($E105="","",SUMIFS('Input_OL'!$K$4:$K$200,'Input_OL'!$C$4:$C$200,C105,'Input_OL'!$F$4:$F$200,B105))</x:f>
      </x:c>
      <x:c r="I105" s="81" t="str">
        <x:f>IF($E105="","",SUMIFS('Master_BOM'!$F$4:$F$200,'Master_BOM'!$A$4:$A$200,C105,'Master_BOM'!$C$4:$C$200,E105))</x:f>
      </x:c>
      <x:c r="J105" s="82" t="str">
        <x:f>IF($E105="","",SUMIFS('Master_BOM'!$G$4:$G$200,'Master_BOM'!$A$4:$A$200,C105,'Master_BOM'!$C$4:$C$200,E105))</x:f>
      </x:c>
      <x:c r="K105" s="83" t="str">
        <x:f>IF($E105="","",SUMIFS('Master_BOM'!$H$4:$H$200,'Master_BOM'!$A$4:$A$200,C105,'Master_BOM'!$C$4:$C$200,E105))</x:f>
      </x:c>
      <x:c r="L105" s="75" t="str">
        <x:f>IF($E105="","",IF(K105="Y",H105*I105,H105*I105*J105))</x:f>
      </x:c>
      <x:c r="M105" s="75" t="str">
        <x:f>IF($E105="","",IFERROR(SUMIFS('Master_BOM'!$J$4:$J$200,'Master_BOM'!$C$4:$C$200,E105),0))</x:f>
      </x:c>
      <x:c r="N105" s="75" t="str">
        <x:f>IF($E105="","",L105+M105)</x:f>
      </x:c>
      <x:c r="O105" s="75" t="str">
        <x:f>IF($E105="","",SUMIFS('Input_Inventory'!$G$4:$G$200,'Input_Inventory'!$C$4:$C$200,E105))</x:f>
      </x:c>
      <x:c r="P105" s="75" t="str">
        <x:f>IF($E105="","",SUMIFS('Input_Inventory'!$L$4:$L$200,'Input_Inventory'!$C$4:$C$200,E105,'Input_Inventory'!$F$4:$F$200,B105))</x:f>
      </x:c>
      <x:c r="Q105" s="75" t="str">
        <x:f>IF($E105="","",O105+P105)</x:f>
      </x:c>
      <x:c r="R105" s="75" t="str">
        <x:f>IF($E105="","",MAX(0,N105-Q105))</x:f>
      </x:c>
      <x:c r="S105" s="75" t="str">
        <x:f>IF($E105="","",SUMIFS('Master_Rules'!$G$4:$G$200,'Master_Rules'!$D$4:$D$200,E105))</x:f>
      </x:c>
      <x:c r="T105" s="75" t="str">
        <x:f>IF($E105="","",IF(S105=0,R105,MAX(S105,CEILING(R105,SUMIFS('Master_Rules'!$H$4:$H$200,'Master_Rules'!$D$4:$D$200,E105)))))</x:f>
      </x:c>
      <x:c r="U105" s="75" t="str">
        <x:f>IF($E105="","",T105*SUMIFS('Master_Rules'!$J$4:$J$200,'Master_Rules'!$D$4:$D$200,E105))</x:f>
      </x:c>
      <x:c r="V105" s="83" t="str">
        <x:f>IF($E105="","",IF(T105&gt;R105,"MOQ 조정",IF(K105="Y","필수품 확인","정상")))</x:f>
      </x:c>
    </x:row>
    <x:row r="106">
      <x:c r="A106" s="71"/>
      <x:c r="B106" s="71"/>
      <x:c r="C106" s="72"/>
      <x:c r="D106" s="72"/>
      <x:c r="E106" s="72"/>
      <x:c r="F106" s="72"/>
      <x:c r="G106" s="72"/>
      <x:c r="H106" s="81" t="str">
        <x:f>IF($E106="","",SUMIFS('Input_OL'!$K$4:$K$200,'Input_OL'!$C$4:$C$200,C106,'Input_OL'!$F$4:$F$200,B106))</x:f>
      </x:c>
      <x:c r="I106" s="81" t="str">
        <x:f>IF($E106="","",SUMIFS('Master_BOM'!$F$4:$F$200,'Master_BOM'!$A$4:$A$200,C106,'Master_BOM'!$C$4:$C$200,E106))</x:f>
      </x:c>
      <x:c r="J106" s="82" t="str">
        <x:f>IF($E106="","",SUMIFS('Master_BOM'!$G$4:$G$200,'Master_BOM'!$A$4:$A$200,C106,'Master_BOM'!$C$4:$C$200,E106))</x:f>
      </x:c>
      <x:c r="K106" s="83" t="str">
        <x:f>IF($E106="","",SUMIFS('Master_BOM'!$H$4:$H$200,'Master_BOM'!$A$4:$A$200,C106,'Master_BOM'!$C$4:$C$200,E106))</x:f>
      </x:c>
      <x:c r="L106" s="75" t="str">
        <x:f>IF($E106="","",IF(K106="Y",H106*I106,H106*I106*J106))</x:f>
      </x:c>
      <x:c r="M106" s="75" t="str">
        <x:f>IF($E106="","",IFERROR(SUMIFS('Master_BOM'!$J$4:$J$200,'Master_BOM'!$C$4:$C$200,E106),0))</x:f>
      </x:c>
      <x:c r="N106" s="75" t="str">
        <x:f>IF($E106="","",L106+M106)</x:f>
      </x:c>
      <x:c r="O106" s="75" t="str">
        <x:f>IF($E106="","",SUMIFS('Input_Inventory'!$G$4:$G$200,'Input_Inventory'!$C$4:$C$200,E106))</x:f>
      </x:c>
      <x:c r="P106" s="75" t="str">
        <x:f>IF($E106="","",SUMIFS('Input_Inventory'!$L$4:$L$200,'Input_Inventory'!$C$4:$C$200,E106,'Input_Inventory'!$F$4:$F$200,B106))</x:f>
      </x:c>
      <x:c r="Q106" s="75" t="str">
        <x:f>IF($E106="","",O106+P106)</x:f>
      </x:c>
      <x:c r="R106" s="75" t="str">
        <x:f>IF($E106="","",MAX(0,N106-Q106))</x:f>
      </x:c>
      <x:c r="S106" s="75" t="str">
        <x:f>IF($E106="","",SUMIFS('Master_Rules'!$G$4:$G$200,'Master_Rules'!$D$4:$D$200,E106))</x:f>
      </x:c>
      <x:c r="T106" s="75" t="str">
        <x:f>IF($E106="","",IF(S106=0,R106,MAX(S106,CEILING(R106,SUMIFS('Master_Rules'!$H$4:$H$200,'Master_Rules'!$D$4:$D$200,E106)))))</x:f>
      </x:c>
      <x:c r="U106" s="75" t="str">
        <x:f>IF($E106="","",T106*SUMIFS('Master_Rules'!$J$4:$J$200,'Master_Rules'!$D$4:$D$200,E106))</x:f>
      </x:c>
      <x:c r="V106" s="83" t="str">
        <x:f>IF($E106="","",IF(T106&gt;R106,"MOQ 조정",IF(K106="Y","필수품 확인","정상")))</x:f>
      </x:c>
    </x:row>
    <x:row r="107">
      <x:c r="A107" s="71"/>
      <x:c r="B107" s="71"/>
      <x:c r="C107" s="72"/>
      <x:c r="D107" s="72"/>
      <x:c r="E107" s="72"/>
      <x:c r="F107" s="72"/>
      <x:c r="G107" s="72"/>
      <x:c r="H107" s="81" t="str">
        <x:f>IF($E107="","",SUMIFS('Input_OL'!$K$4:$K$200,'Input_OL'!$C$4:$C$200,C107,'Input_OL'!$F$4:$F$200,B107))</x:f>
      </x:c>
      <x:c r="I107" s="81" t="str">
        <x:f>IF($E107="","",SUMIFS('Master_BOM'!$F$4:$F$200,'Master_BOM'!$A$4:$A$200,C107,'Master_BOM'!$C$4:$C$200,E107))</x:f>
      </x:c>
      <x:c r="J107" s="82" t="str">
        <x:f>IF($E107="","",SUMIFS('Master_BOM'!$G$4:$G$200,'Master_BOM'!$A$4:$A$200,C107,'Master_BOM'!$C$4:$C$200,E107))</x:f>
      </x:c>
      <x:c r="K107" s="83" t="str">
        <x:f>IF($E107="","",SUMIFS('Master_BOM'!$H$4:$H$200,'Master_BOM'!$A$4:$A$200,C107,'Master_BOM'!$C$4:$C$200,E107))</x:f>
      </x:c>
      <x:c r="L107" s="75" t="str">
        <x:f>IF($E107="","",IF(K107="Y",H107*I107,H107*I107*J107))</x:f>
      </x:c>
      <x:c r="M107" s="75" t="str">
        <x:f>IF($E107="","",IFERROR(SUMIFS('Master_BOM'!$J$4:$J$200,'Master_BOM'!$C$4:$C$200,E107),0))</x:f>
      </x:c>
      <x:c r="N107" s="75" t="str">
        <x:f>IF($E107="","",L107+M107)</x:f>
      </x:c>
      <x:c r="O107" s="75" t="str">
        <x:f>IF($E107="","",SUMIFS('Input_Inventory'!$G$4:$G$200,'Input_Inventory'!$C$4:$C$200,E107))</x:f>
      </x:c>
      <x:c r="P107" s="75" t="str">
        <x:f>IF($E107="","",SUMIFS('Input_Inventory'!$L$4:$L$200,'Input_Inventory'!$C$4:$C$200,E107,'Input_Inventory'!$F$4:$F$200,B107))</x:f>
      </x:c>
      <x:c r="Q107" s="75" t="str">
        <x:f>IF($E107="","",O107+P107)</x:f>
      </x:c>
      <x:c r="R107" s="75" t="str">
        <x:f>IF($E107="","",MAX(0,N107-Q107))</x:f>
      </x:c>
      <x:c r="S107" s="75" t="str">
        <x:f>IF($E107="","",SUMIFS('Master_Rules'!$G$4:$G$200,'Master_Rules'!$D$4:$D$200,E107))</x:f>
      </x:c>
      <x:c r="T107" s="75" t="str">
        <x:f>IF($E107="","",IF(S107=0,R107,MAX(S107,CEILING(R107,SUMIFS('Master_Rules'!$H$4:$H$200,'Master_Rules'!$D$4:$D$200,E107)))))</x:f>
      </x:c>
      <x:c r="U107" s="75" t="str">
        <x:f>IF($E107="","",T107*SUMIFS('Master_Rules'!$J$4:$J$200,'Master_Rules'!$D$4:$D$200,E107))</x:f>
      </x:c>
      <x:c r="V107" s="83" t="str">
        <x:f>IF($E107="","",IF(T107&gt;R107,"MOQ 조정",IF(K107="Y","필수품 확인","정상")))</x:f>
      </x:c>
    </x:row>
    <x:row r="108">
      <x:c r="A108" s="71"/>
      <x:c r="B108" s="71"/>
      <x:c r="C108" s="72"/>
      <x:c r="D108" s="72"/>
      <x:c r="E108" s="72"/>
      <x:c r="F108" s="72"/>
      <x:c r="G108" s="72"/>
      <x:c r="H108" s="81" t="str">
        <x:f>IF($E108="","",SUMIFS('Input_OL'!$K$4:$K$200,'Input_OL'!$C$4:$C$200,C108,'Input_OL'!$F$4:$F$200,B108))</x:f>
      </x:c>
      <x:c r="I108" s="81" t="str">
        <x:f>IF($E108="","",SUMIFS('Master_BOM'!$F$4:$F$200,'Master_BOM'!$A$4:$A$200,C108,'Master_BOM'!$C$4:$C$200,E108))</x:f>
      </x:c>
      <x:c r="J108" s="82" t="str">
        <x:f>IF($E108="","",SUMIFS('Master_BOM'!$G$4:$G$200,'Master_BOM'!$A$4:$A$200,C108,'Master_BOM'!$C$4:$C$200,E108))</x:f>
      </x:c>
      <x:c r="K108" s="83" t="str">
        <x:f>IF($E108="","",SUMIFS('Master_BOM'!$H$4:$H$200,'Master_BOM'!$A$4:$A$200,C108,'Master_BOM'!$C$4:$C$200,E108))</x:f>
      </x:c>
      <x:c r="L108" s="75" t="str">
        <x:f>IF($E108="","",IF(K108="Y",H108*I108,H108*I108*J108))</x:f>
      </x:c>
      <x:c r="M108" s="75" t="str">
        <x:f>IF($E108="","",IFERROR(SUMIFS('Master_BOM'!$J$4:$J$200,'Master_BOM'!$C$4:$C$200,E108),0))</x:f>
      </x:c>
      <x:c r="N108" s="75" t="str">
        <x:f>IF($E108="","",L108+M108)</x:f>
      </x:c>
      <x:c r="O108" s="75" t="str">
        <x:f>IF($E108="","",SUMIFS('Input_Inventory'!$G$4:$G$200,'Input_Inventory'!$C$4:$C$200,E108))</x:f>
      </x:c>
      <x:c r="P108" s="75" t="str">
        <x:f>IF($E108="","",SUMIFS('Input_Inventory'!$L$4:$L$200,'Input_Inventory'!$C$4:$C$200,E108,'Input_Inventory'!$F$4:$F$200,B108))</x:f>
      </x:c>
      <x:c r="Q108" s="75" t="str">
        <x:f>IF($E108="","",O108+P108)</x:f>
      </x:c>
      <x:c r="R108" s="75" t="str">
        <x:f>IF($E108="","",MAX(0,N108-Q108))</x:f>
      </x:c>
      <x:c r="S108" s="75" t="str">
        <x:f>IF($E108="","",SUMIFS('Master_Rules'!$G$4:$G$200,'Master_Rules'!$D$4:$D$200,E108))</x:f>
      </x:c>
      <x:c r="T108" s="75" t="str">
        <x:f>IF($E108="","",IF(S108=0,R108,MAX(S108,CEILING(R108,SUMIFS('Master_Rules'!$H$4:$H$200,'Master_Rules'!$D$4:$D$200,E108)))))</x:f>
      </x:c>
      <x:c r="U108" s="75" t="str">
        <x:f>IF($E108="","",T108*SUMIFS('Master_Rules'!$J$4:$J$200,'Master_Rules'!$D$4:$D$200,E108))</x:f>
      </x:c>
      <x:c r="V108" s="83" t="str">
        <x:f>IF($E108="","",IF(T108&gt;R108,"MOQ 조정",IF(K108="Y","필수품 확인","정상")))</x:f>
      </x:c>
    </x:row>
    <x:row r="109">
      <x:c r="A109" s="71"/>
      <x:c r="B109" s="71"/>
      <x:c r="C109" s="72"/>
      <x:c r="D109" s="72"/>
      <x:c r="E109" s="72"/>
      <x:c r="F109" s="72"/>
      <x:c r="G109" s="72"/>
      <x:c r="H109" s="81" t="str">
        <x:f>IF($E109="","",SUMIFS('Input_OL'!$K$4:$K$200,'Input_OL'!$C$4:$C$200,C109,'Input_OL'!$F$4:$F$200,B109))</x:f>
      </x:c>
      <x:c r="I109" s="81" t="str">
        <x:f>IF($E109="","",SUMIFS('Master_BOM'!$F$4:$F$200,'Master_BOM'!$A$4:$A$200,C109,'Master_BOM'!$C$4:$C$200,E109))</x:f>
      </x:c>
      <x:c r="J109" s="82" t="str">
        <x:f>IF($E109="","",SUMIFS('Master_BOM'!$G$4:$G$200,'Master_BOM'!$A$4:$A$200,C109,'Master_BOM'!$C$4:$C$200,E109))</x:f>
      </x:c>
      <x:c r="K109" s="83" t="str">
        <x:f>IF($E109="","",SUMIFS('Master_BOM'!$H$4:$H$200,'Master_BOM'!$A$4:$A$200,C109,'Master_BOM'!$C$4:$C$200,E109))</x:f>
      </x:c>
      <x:c r="L109" s="75" t="str">
        <x:f>IF($E109="","",IF(K109="Y",H109*I109,H109*I109*J109))</x:f>
      </x:c>
      <x:c r="M109" s="75" t="str">
        <x:f>IF($E109="","",IFERROR(SUMIFS('Master_BOM'!$J$4:$J$200,'Master_BOM'!$C$4:$C$200,E109),0))</x:f>
      </x:c>
      <x:c r="N109" s="75" t="str">
        <x:f>IF($E109="","",L109+M109)</x:f>
      </x:c>
      <x:c r="O109" s="75" t="str">
        <x:f>IF($E109="","",SUMIFS('Input_Inventory'!$G$4:$G$200,'Input_Inventory'!$C$4:$C$200,E109))</x:f>
      </x:c>
      <x:c r="P109" s="75" t="str">
        <x:f>IF($E109="","",SUMIFS('Input_Inventory'!$L$4:$L$200,'Input_Inventory'!$C$4:$C$200,E109,'Input_Inventory'!$F$4:$F$200,B109))</x:f>
      </x:c>
      <x:c r="Q109" s="75" t="str">
        <x:f>IF($E109="","",O109+P109)</x:f>
      </x:c>
      <x:c r="R109" s="75" t="str">
        <x:f>IF($E109="","",MAX(0,N109-Q109))</x:f>
      </x:c>
      <x:c r="S109" s="75" t="str">
        <x:f>IF($E109="","",SUMIFS('Master_Rules'!$G$4:$G$200,'Master_Rules'!$D$4:$D$200,E109))</x:f>
      </x:c>
      <x:c r="T109" s="75" t="str">
        <x:f>IF($E109="","",IF(S109=0,R109,MAX(S109,CEILING(R109,SUMIFS('Master_Rules'!$H$4:$H$200,'Master_Rules'!$D$4:$D$200,E109)))))</x:f>
      </x:c>
      <x:c r="U109" s="75" t="str">
        <x:f>IF($E109="","",T109*SUMIFS('Master_Rules'!$J$4:$J$200,'Master_Rules'!$D$4:$D$200,E109))</x:f>
      </x:c>
      <x:c r="V109" s="83" t="str">
        <x:f>IF($E109="","",IF(T109&gt;R109,"MOQ 조정",IF(K109="Y","필수품 확인","정상")))</x:f>
      </x:c>
    </x:row>
    <x:row r="110">
      <x:c r="A110" s="71"/>
      <x:c r="B110" s="71"/>
      <x:c r="C110" s="72"/>
      <x:c r="D110" s="72"/>
      <x:c r="E110" s="72"/>
      <x:c r="F110" s="72"/>
      <x:c r="G110" s="72"/>
      <x:c r="H110" s="81" t="str">
        <x:f>IF($E110="","",SUMIFS('Input_OL'!$K$4:$K$200,'Input_OL'!$C$4:$C$200,C110,'Input_OL'!$F$4:$F$200,B110))</x:f>
      </x:c>
      <x:c r="I110" s="81" t="str">
        <x:f>IF($E110="","",SUMIFS('Master_BOM'!$F$4:$F$200,'Master_BOM'!$A$4:$A$200,C110,'Master_BOM'!$C$4:$C$200,E110))</x:f>
      </x:c>
      <x:c r="J110" s="82" t="str">
        <x:f>IF($E110="","",SUMIFS('Master_BOM'!$G$4:$G$200,'Master_BOM'!$A$4:$A$200,C110,'Master_BOM'!$C$4:$C$200,E110))</x:f>
      </x:c>
      <x:c r="K110" s="83" t="str">
        <x:f>IF($E110="","",SUMIFS('Master_BOM'!$H$4:$H$200,'Master_BOM'!$A$4:$A$200,C110,'Master_BOM'!$C$4:$C$200,E110))</x:f>
      </x:c>
      <x:c r="L110" s="75" t="str">
        <x:f>IF($E110="","",IF(K110="Y",H110*I110,H110*I110*J110))</x:f>
      </x:c>
      <x:c r="M110" s="75" t="str">
        <x:f>IF($E110="","",IFERROR(SUMIFS('Master_BOM'!$J$4:$J$200,'Master_BOM'!$C$4:$C$200,E110),0))</x:f>
      </x:c>
      <x:c r="N110" s="75" t="str">
        <x:f>IF($E110="","",L110+M110)</x:f>
      </x:c>
      <x:c r="O110" s="75" t="str">
        <x:f>IF($E110="","",SUMIFS('Input_Inventory'!$G$4:$G$200,'Input_Inventory'!$C$4:$C$200,E110))</x:f>
      </x:c>
      <x:c r="P110" s="75" t="str">
        <x:f>IF($E110="","",SUMIFS('Input_Inventory'!$L$4:$L$200,'Input_Inventory'!$C$4:$C$200,E110,'Input_Inventory'!$F$4:$F$200,B110))</x:f>
      </x:c>
      <x:c r="Q110" s="75" t="str">
        <x:f>IF($E110="","",O110+P110)</x:f>
      </x:c>
      <x:c r="R110" s="75" t="str">
        <x:f>IF($E110="","",MAX(0,N110-Q110))</x:f>
      </x:c>
      <x:c r="S110" s="75" t="str">
        <x:f>IF($E110="","",SUMIFS('Master_Rules'!$G$4:$G$200,'Master_Rules'!$D$4:$D$200,E110))</x:f>
      </x:c>
      <x:c r="T110" s="75" t="str">
        <x:f>IF($E110="","",IF(S110=0,R110,MAX(S110,CEILING(R110,SUMIFS('Master_Rules'!$H$4:$H$200,'Master_Rules'!$D$4:$D$200,E110)))))</x:f>
      </x:c>
      <x:c r="U110" s="75" t="str">
        <x:f>IF($E110="","",T110*SUMIFS('Master_Rules'!$J$4:$J$200,'Master_Rules'!$D$4:$D$200,E110))</x:f>
      </x:c>
      <x:c r="V110" s="83" t="str">
        <x:f>IF($E110="","",IF(T110&gt;R110,"MOQ 조정",IF(K110="Y","필수품 확인","정상")))</x:f>
      </x:c>
    </x:row>
    <x:row r="111">
      <x:c r="A111" s="71"/>
      <x:c r="B111" s="71"/>
      <x:c r="C111" s="72"/>
      <x:c r="D111" s="72"/>
      <x:c r="E111" s="72"/>
      <x:c r="F111" s="72"/>
      <x:c r="G111" s="72"/>
      <x:c r="H111" s="81" t="str">
        <x:f>IF($E111="","",SUMIFS('Input_OL'!$K$4:$K$200,'Input_OL'!$C$4:$C$200,C111,'Input_OL'!$F$4:$F$200,B111))</x:f>
      </x:c>
      <x:c r="I111" s="81" t="str">
        <x:f>IF($E111="","",SUMIFS('Master_BOM'!$F$4:$F$200,'Master_BOM'!$A$4:$A$200,C111,'Master_BOM'!$C$4:$C$200,E111))</x:f>
      </x:c>
      <x:c r="J111" s="82" t="str">
        <x:f>IF($E111="","",SUMIFS('Master_BOM'!$G$4:$G$200,'Master_BOM'!$A$4:$A$200,C111,'Master_BOM'!$C$4:$C$200,E111))</x:f>
      </x:c>
      <x:c r="K111" s="83" t="str">
        <x:f>IF($E111="","",SUMIFS('Master_BOM'!$H$4:$H$200,'Master_BOM'!$A$4:$A$200,C111,'Master_BOM'!$C$4:$C$200,E111))</x:f>
      </x:c>
      <x:c r="L111" s="75" t="str">
        <x:f>IF($E111="","",IF(K111="Y",H111*I111,H111*I111*J111))</x:f>
      </x:c>
      <x:c r="M111" s="75" t="str">
        <x:f>IF($E111="","",IFERROR(SUMIFS('Master_BOM'!$J$4:$J$200,'Master_BOM'!$C$4:$C$200,E111),0))</x:f>
      </x:c>
      <x:c r="N111" s="75" t="str">
        <x:f>IF($E111="","",L111+M111)</x:f>
      </x:c>
      <x:c r="O111" s="75" t="str">
        <x:f>IF($E111="","",SUMIFS('Input_Inventory'!$G$4:$G$200,'Input_Inventory'!$C$4:$C$200,E111))</x:f>
      </x:c>
      <x:c r="P111" s="75" t="str">
        <x:f>IF($E111="","",SUMIFS('Input_Inventory'!$L$4:$L$200,'Input_Inventory'!$C$4:$C$200,E111,'Input_Inventory'!$F$4:$F$200,B111))</x:f>
      </x:c>
      <x:c r="Q111" s="75" t="str">
        <x:f>IF($E111="","",O111+P111)</x:f>
      </x:c>
      <x:c r="R111" s="75" t="str">
        <x:f>IF($E111="","",MAX(0,N111-Q111))</x:f>
      </x:c>
      <x:c r="S111" s="75" t="str">
        <x:f>IF($E111="","",SUMIFS('Master_Rules'!$G$4:$G$200,'Master_Rules'!$D$4:$D$200,E111))</x:f>
      </x:c>
      <x:c r="T111" s="75" t="str">
        <x:f>IF($E111="","",IF(S111=0,R111,MAX(S111,CEILING(R111,SUMIFS('Master_Rules'!$H$4:$H$200,'Master_Rules'!$D$4:$D$200,E111)))))</x:f>
      </x:c>
      <x:c r="U111" s="75" t="str">
        <x:f>IF($E111="","",T111*SUMIFS('Master_Rules'!$J$4:$J$200,'Master_Rules'!$D$4:$D$200,E111))</x:f>
      </x:c>
      <x:c r="V111" s="83" t="str">
        <x:f>IF($E111="","",IF(T111&gt;R111,"MOQ 조정",IF(K111="Y","필수품 확인","정상")))</x:f>
      </x:c>
    </x:row>
    <x:row r="112">
      <x:c r="A112" s="71"/>
      <x:c r="B112" s="71"/>
      <x:c r="C112" s="72"/>
      <x:c r="D112" s="72"/>
      <x:c r="E112" s="72"/>
      <x:c r="F112" s="72"/>
      <x:c r="G112" s="72"/>
      <x:c r="H112" s="81" t="str">
        <x:f>IF($E112="","",SUMIFS('Input_OL'!$K$4:$K$200,'Input_OL'!$C$4:$C$200,C112,'Input_OL'!$F$4:$F$200,B112))</x:f>
      </x:c>
      <x:c r="I112" s="81" t="str">
        <x:f>IF($E112="","",SUMIFS('Master_BOM'!$F$4:$F$200,'Master_BOM'!$A$4:$A$200,C112,'Master_BOM'!$C$4:$C$200,E112))</x:f>
      </x:c>
      <x:c r="J112" s="82" t="str">
        <x:f>IF($E112="","",SUMIFS('Master_BOM'!$G$4:$G$200,'Master_BOM'!$A$4:$A$200,C112,'Master_BOM'!$C$4:$C$200,E112))</x:f>
      </x:c>
      <x:c r="K112" s="83" t="str">
        <x:f>IF($E112="","",SUMIFS('Master_BOM'!$H$4:$H$200,'Master_BOM'!$A$4:$A$200,C112,'Master_BOM'!$C$4:$C$200,E112))</x:f>
      </x:c>
      <x:c r="L112" s="75" t="str">
        <x:f>IF($E112="","",IF(K112="Y",H112*I112,H112*I112*J112))</x:f>
      </x:c>
      <x:c r="M112" s="75" t="str">
        <x:f>IF($E112="","",IFERROR(SUMIFS('Master_BOM'!$J$4:$J$200,'Master_BOM'!$C$4:$C$200,E112),0))</x:f>
      </x:c>
      <x:c r="N112" s="75" t="str">
        <x:f>IF($E112="","",L112+M112)</x:f>
      </x:c>
      <x:c r="O112" s="75" t="str">
        <x:f>IF($E112="","",SUMIFS('Input_Inventory'!$G$4:$G$200,'Input_Inventory'!$C$4:$C$200,E112))</x:f>
      </x:c>
      <x:c r="P112" s="75" t="str">
        <x:f>IF($E112="","",SUMIFS('Input_Inventory'!$L$4:$L$200,'Input_Inventory'!$C$4:$C$200,E112,'Input_Inventory'!$F$4:$F$200,B112))</x:f>
      </x:c>
      <x:c r="Q112" s="75" t="str">
        <x:f>IF($E112="","",O112+P112)</x:f>
      </x:c>
      <x:c r="R112" s="75" t="str">
        <x:f>IF($E112="","",MAX(0,N112-Q112))</x:f>
      </x:c>
      <x:c r="S112" s="75" t="str">
        <x:f>IF($E112="","",SUMIFS('Master_Rules'!$G$4:$G$200,'Master_Rules'!$D$4:$D$200,E112))</x:f>
      </x:c>
      <x:c r="T112" s="75" t="str">
        <x:f>IF($E112="","",IF(S112=0,R112,MAX(S112,CEILING(R112,SUMIFS('Master_Rules'!$H$4:$H$200,'Master_Rules'!$D$4:$D$200,E112)))))</x:f>
      </x:c>
      <x:c r="U112" s="75" t="str">
        <x:f>IF($E112="","",T112*SUMIFS('Master_Rules'!$J$4:$J$200,'Master_Rules'!$D$4:$D$200,E112))</x:f>
      </x:c>
      <x:c r="V112" s="83" t="str">
        <x:f>IF($E112="","",IF(T112&gt;R112,"MOQ 조정",IF(K112="Y","필수품 확인","정상")))</x:f>
      </x:c>
    </x:row>
    <x:row r="113">
      <x:c r="A113" s="71"/>
      <x:c r="B113" s="71"/>
      <x:c r="C113" s="72"/>
      <x:c r="D113" s="72"/>
      <x:c r="E113" s="72"/>
      <x:c r="F113" s="72"/>
      <x:c r="G113" s="72"/>
      <x:c r="H113" s="81" t="str">
        <x:f>IF($E113="","",SUMIFS('Input_OL'!$K$4:$K$200,'Input_OL'!$C$4:$C$200,C113,'Input_OL'!$F$4:$F$200,B113))</x:f>
      </x:c>
      <x:c r="I113" s="81" t="str">
        <x:f>IF($E113="","",SUMIFS('Master_BOM'!$F$4:$F$200,'Master_BOM'!$A$4:$A$200,C113,'Master_BOM'!$C$4:$C$200,E113))</x:f>
      </x:c>
      <x:c r="J113" s="82" t="str">
        <x:f>IF($E113="","",SUMIFS('Master_BOM'!$G$4:$G$200,'Master_BOM'!$A$4:$A$200,C113,'Master_BOM'!$C$4:$C$200,E113))</x:f>
      </x:c>
      <x:c r="K113" s="83" t="str">
        <x:f>IF($E113="","",SUMIFS('Master_BOM'!$H$4:$H$200,'Master_BOM'!$A$4:$A$200,C113,'Master_BOM'!$C$4:$C$200,E113))</x:f>
      </x:c>
      <x:c r="L113" s="75" t="str">
        <x:f>IF($E113="","",IF(K113="Y",H113*I113,H113*I113*J113))</x:f>
      </x:c>
      <x:c r="M113" s="75" t="str">
        <x:f>IF($E113="","",IFERROR(SUMIFS('Master_BOM'!$J$4:$J$200,'Master_BOM'!$C$4:$C$200,E113),0))</x:f>
      </x:c>
      <x:c r="N113" s="75" t="str">
        <x:f>IF($E113="","",L113+M113)</x:f>
      </x:c>
      <x:c r="O113" s="75" t="str">
        <x:f>IF($E113="","",SUMIFS('Input_Inventory'!$G$4:$G$200,'Input_Inventory'!$C$4:$C$200,E113))</x:f>
      </x:c>
      <x:c r="P113" s="75" t="str">
        <x:f>IF($E113="","",SUMIFS('Input_Inventory'!$L$4:$L$200,'Input_Inventory'!$C$4:$C$200,E113,'Input_Inventory'!$F$4:$F$200,B113))</x:f>
      </x:c>
      <x:c r="Q113" s="75" t="str">
        <x:f>IF($E113="","",O113+P113)</x:f>
      </x:c>
      <x:c r="R113" s="75" t="str">
        <x:f>IF($E113="","",MAX(0,N113-Q113))</x:f>
      </x:c>
      <x:c r="S113" s="75" t="str">
        <x:f>IF($E113="","",SUMIFS('Master_Rules'!$G$4:$G$200,'Master_Rules'!$D$4:$D$200,E113))</x:f>
      </x:c>
      <x:c r="T113" s="75" t="str">
        <x:f>IF($E113="","",IF(S113=0,R113,MAX(S113,CEILING(R113,SUMIFS('Master_Rules'!$H$4:$H$200,'Master_Rules'!$D$4:$D$200,E113)))))</x:f>
      </x:c>
      <x:c r="U113" s="75" t="str">
        <x:f>IF($E113="","",T113*SUMIFS('Master_Rules'!$J$4:$J$200,'Master_Rules'!$D$4:$D$200,E113))</x:f>
      </x:c>
      <x:c r="V113" s="83" t="str">
        <x:f>IF($E113="","",IF(T113&gt;R113,"MOQ 조정",IF(K113="Y","필수품 확인","정상")))</x:f>
      </x:c>
    </x:row>
    <x:row r="114">
      <x:c r="A114" s="71"/>
      <x:c r="B114" s="71"/>
      <x:c r="C114" s="72"/>
      <x:c r="D114" s="72"/>
      <x:c r="E114" s="72"/>
      <x:c r="F114" s="72"/>
      <x:c r="G114" s="72"/>
      <x:c r="H114" s="81" t="str">
        <x:f>IF($E114="","",SUMIFS('Input_OL'!$K$4:$K$200,'Input_OL'!$C$4:$C$200,C114,'Input_OL'!$F$4:$F$200,B114))</x:f>
      </x:c>
      <x:c r="I114" s="81" t="str">
        <x:f>IF($E114="","",SUMIFS('Master_BOM'!$F$4:$F$200,'Master_BOM'!$A$4:$A$200,C114,'Master_BOM'!$C$4:$C$200,E114))</x:f>
      </x:c>
      <x:c r="J114" s="82" t="str">
        <x:f>IF($E114="","",SUMIFS('Master_BOM'!$G$4:$G$200,'Master_BOM'!$A$4:$A$200,C114,'Master_BOM'!$C$4:$C$200,E114))</x:f>
      </x:c>
      <x:c r="K114" s="83" t="str">
        <x:f>IF($E114="","",SUMIFS('Master_BOM'!$H$4:$H$200,'Master_BOM'!$A$4:$A$200,C114,'Master_BOM'!$C$4:$C$200,E114))</x:f>
      </x:c>
      <x:c r="L114" s="75" t="str">
        <x:f>IF($E114="","",IF(K114="Y",H114*I114,H114*I114*J114))</x:f>
      </x:c>
      <x:c r="M114" s="75" t="str">
        <x:f>IF($E114="","",IFERROR(SUMIFS('Master_BOM'!$J$4:$J$200,'Master_BOM'!$C$4:$C$200,E114),0))</x:f>
      </x:c>
      <x:c r="N114" s="75" t="str">
        <x:f>IF($E114="","",L114+M114)</x:f>
      </x:c>
      <x:c r="O114" s="75" t="str">
        <x:f>IF($E114="","",SUMIFS('Input_Inventory'!$G$4:$G$200,'Input_Inventory'!$C$4:$C$200,E114))</x:f>
      </x:c>
      <x:c r="P114" s="75" t="str">
        <x:f>IF($E114="","",SUMIFS('Input_Inventory'!$L$4:$L$200,'Input_Inventory'!$C$4:$C$200,E114,'Input_Inventory'!$F$4:$F$200,B114))</x:f>
      </x:c>
      <x:c r="Q114" s="75" t="str">
        <x:f>IF($E114="","",O114+P114)</x:f>
      </x:c>
      <x:c r="R114" s="75" t="str">
        <x:f>IF($E114="","",MAX(0,N114-Q114))</x:f>
      </x:c>
      <x:c r="S114" s="75" t="str">
        <x:f>IF($E114="","",SUMIFS('Master_Rules'!$G$4:$G$200,'Master_Rules'!$D$4:$D$200,E114))</x:f>
      </x:c>
      <x:c r="T114" s="75" t="str">
        <x:f>IF($E114="","",IF(S114=0,R114,MAX(S114,CEILING(R114,SUMIFS('Master_Rules'!$H$4:$H$200,'Master_Rules'!$D$4:$D$200,E114)))))</x:f>
      </x:c>
      <x:c r="U114" s="75" t="str">
        <x:f>IF($E114="","",T114*SUMIFS('Master_Rules'!$J$4:$J$200,'Master_Rules'!$D$4:$D$200,E114))</x:f>
      </x:c>
      <x:c r="V114" s="83" t="str">
        <x:f>IF($E114="","",IF(T114&gt;R114,"MOQ 조정",IF(K114="Y","필수품 확인","정상")))</x:f>
      </x:c>
    </x:row>
    <x:row r="115">
      <x:c r="A115" s="71"/>
      <x:c r="B115" s="71"/>
      <x:c r="C115" s="72"/>
      <x:c r="D115" s="72"/>
      <x:c r="E115" s="72"/>
      <x:c r="F115" s="72"/>
      <x:c r="G115" s="72"/>
      <x:c r="H115" s="81" t="str">
        <x:f>IF($E115="","",SUMIFS('Input_OL'!$K$4:$K$200,'Input_OL'!$C$4:$C$200,C115,'Input_OL'!$F$4:$F$200,B115))</x:f>
      </x:c>
      <x:c r="I115" s="81" t="str">
        <x:f>IF($E115="","",SUMIFS('Master_BOM'!$F$4:$F$200,'Master_BOM'!$A$4:$A$200,C115,'Master_BOM'!$C$4:$C$200,E115))</x:f>
      </x:c>
      <x:c r="J115" s="82" t="str">
        <x:f>IF($E115="","",SUMIFS('Master_BOM'!$G$4:$G$200,'Master_BOM'!$A$4:$A$200,C115,'Master_BOM'!$C$4:$C$200,E115))</x:f>
      </x:c>
      <x:c r="K115" s="83" t="str">
        <x:f>IF($E115="","",SUMIFS('Master_BOM'!$H$4:$H$200,'Master_BOM'!$A$4:$A$200,C115,'Master_BOM'!$C$4:$C$200,E115))</x:f>
      </x:c>
      <x:c r="L115" s="75" t="str">
        <x:f>IF($E115="","",IF(K115="Y",H115*I115,H115*I115*J115))</x:f>
      </x:c>
      <x:c r="M115" s="75" t="str">
        <x:f>IF($E115="","",IFERROR(SUMIFS('Master_BOM'!$J$4:$J$200,'Master_BOM'!$C$4:$C$200,E115),0))</x:f>
      </x:c>
      <x:c r="N115" s="75" t="str">
        <x:f>IF($E115="","",L115+M115)</x:f>
      </x:c>
      <x:c r="O115" s="75" t="str">
        <x:f>IF($E115="","",SUMIFS('Input_Inventory'!$G$4:$G$200,'Input_Inventory'!$C$4:$C$200,E115))</x:f>
      </x:c>
      <x:c r="P115" s="75" t="str">
        <x:f>IF($E115="","",SUMIFS('Input_Inventory'!$L$4:$L$200,'Input_Inventory'!$C$4:$C$200,E115,'Input_Inventory'!$F$4:$F$200,B115))</x:f>
      </x:c>
      <x:c r="Q115" s="75" t="str">
        <x:f>IF($E115="","",O115+P115)</x:f>
      </x:c>
      <x:c r="R115" s="75" t="str">
        <x:f>IF($E115="","",MAX(0,N115-Q115))</x:f>
      </x:c>
      <x:c r="S115" s="75" t="str">
        <x:f>IF($E115="","",SUMIFS('Master_Rules'!$G$4:$G$200,'Master_Rules'!$D$4:$D$200,E115))</x:f>
      </x:c>
      <x:c r="T115" s="75" t="str">
        <x:f>IF($E115="","",IF(S115=0,R115,MAX(S115,CEILING(R115,SUMIFS('Master_Rules'!$H$4:$H$200,'Master_Rules'!$D$4:$D$200,E115)))))</x:f>
      </x:c>
      <x:c r="U115" s="75" t="str">
        <x:f>IF($E115="","",T115*SUMIFS('Master_Rules'!$J$4:$J$200,'Master_Rules'!$D$4:$D$200,E115))</x:f>
      </x:c>
      <x:c r="V115" s="83" t="str">
        <x:f>IF($E115="","",IF(T115&gt;R115,"MOQ 조정",IF(K115="Y","필수품 확인","정상")))</x:f>
      </x:c>
    </x:row>
    <x:row r="116">
      <x:c r="A116" s="71"/>
      <x:c r="B116" s="71"/>
      <x:c r="C116" s="72"/>
      <x:c r="D116" s="72"/>
      <x:c r="E116" s="72"/>
      <x:c r="F116" s="72"/>
      <x:c r="G116" s="72"/>
      <x:c r="H116" s="81" t="str">
        <x:f>IF($E116="","",SUMIFS('Input_OL'!$K$4:$K$200,'Input_OL'!$C$4:$C$200,C116,'Input_OL'!$F$4:$F$200,B116))</x:f>
      </x:c>
      <x:c r="I116" s="81" t="str">
        <x:f>IF($E116="","",SUMIFS('Master_BOM'!$F$4:$F$200,'Master_BOM'!$A$4:$A$200,C116,'Master_BOM'!$C$4:$C$200,E116))</x:f>
      </x:c>
      <x:c r="J116" s="82" t="str">
        <x:f>IF($E116="","",SUMIFS('Master_BOM'!$G$4:$G$200,'Master_BOM'!$A$4:$A$200,C116,'Master_BOM'!$C$4:$C$200,E116))</x:f>
      </x:c>
      <x:c r="K116" s="83" t="str">
        <x:f>IF($E116="","",SUMIFS('Master_BOM'!$H$4:$H$200,'Master_BOM'!$A$4:$A$200,C116,'Master_BOM'!$C$4:$C$200,E116))</x:f>
      </x:c>
      <x:c r="L116" s="75" t="str">
        <x:f>IF($E116="","",IF(K116="Y",H116*I116,H116*I116*J116))</x:f>
      </x:c>
      <x:c r="M116" s="75" t="str">
        <x:f>IF($E116="","",IFERROR(SUMIFS('Master_BOM'!$J$4:$J$200,'Master_BOM'!$C$4:$C$200,E116),0))</x:f>
      </x:c>
      <x:c r="N116" s="75" t="str">
        <x:f>IF($E116="","",L116+M116)</x:f>
      </x:c>
      <x:c r="O116" s="75" t="str">
        <x:f>IF($E116="","",SUMIFS('Input_Inventory'!$G$4:$G$200,'Input_Inventory'!$C$4:$C$200,E116))</x:f>
      </x:c>
      <x:c r="P116" s="75" t="str">
        <x:f>IF($E116="","",SUMIFS('Input_Inventory'!$L$4:$L$200,'Input_Inventory'!$C$4:$C$200,E116,'Input_Inventory'!$F$4:$F$200,B116))</x:f>
      </x:c>
      <x:c r="Q116" s="75" t="str">
        <x:f>IF($E116="","",O116+P116)</x:f>
      </x:c>
      <x:c r="R116" s="75" t="str">
        <x:f>IF($E116="","",MAX(0,N116-Q116))</x:f>
      </x:c>
      <x:c r="S116" s="75" t="str">
        <x:f>IF($E116="","",SUMIFS('Master_Rules'!$G$4:$G$200,'Master_Rules'!$D$4:$D$200,E116))</x:f>
      </x:c>
      <x:c r="T116" s="75" t="str">
        <x:f>IF($E116="","",IF(S116=0,R116,MAX(S116,CEILING(R116,SUMIFS('Master_Rules'!$H$4:$H$200,'Master_Rules'!$D$4:$D$200,E116)))))</x:f>
      </x:c>
      <x:c r="U116" s="75" t="str">
        <x:f>IF($E116="","",T116*SUMIFS('Master_Rules'!$J$4:$J$200,'Master_Rules'!$D$4:$D$200,E116))</x:f>
      </x:c>
      <x:c r="V116" s="83" t="str">
        <x:f>IF($E116="","",IF(T116&gt;R116,"MOQ 조정",IF(K116="Y","필수품 확인","정상")))</x:f>
      </x:c>
    </x:row>
    <x:row r="117">
      <x:c r="A117" s="71"/>
      <x:c r="B117" s="71"/>
      <x:c r="C117" s="72"/>
      <x:c r="D117" s="72"/>
      <x:c r="E117" s="72"/>
      <x:c r="F117" s="72"/>
      <x:c r="G117" s="72"/>
      <x:c r="H117" s="81" t="str">
        <x:f>IF($E117="","",SUMIFS('Input_OL'!$K$4:$K$200,'Input_OL'!$C$4:$C$200,C117,'Input_OL'!$F$4:$F$200,B117))</x:f>
      </x:c>
      <x:c r="I117" s="81" t="str">
        <x:f>IF($E117="","",SUMIFS('Master_BOM'!$F$4:$F$200,'Master_BOM'!$A$4:$A$200,C117,'Master_BOM'!$C$4:$C$200,E117))</x:f>
      </x:c>
      <x:c r="J117" s="82" t="str">
        <x:f>IF($E117="","",SUMIFS('Master_BOM'!$G$4:$G$200,'Master_BOM'!$A$4:$A$200,C117,'Master_BOM'!$C$4:$C$200,E117))</x:f>
      </x:c>
      <x:c r="K117" s="83" t="str">
        <x:f>IF($E117="","",SUMIFS('Master_BOM'!$H$4:$H$200,'Master_BOM'!$A$4:$A$200,C117,'Master_BOM'!$C$4:$C$200,E117))</x:f>
      </x:c>
      <x:c r="L117" s="75" t="str">
        <x:f>IF($E117="","",IF(K117="Y",H117*I117,H117*I117*J117))</x:f>
      </x:c>
      <x:c r="M117" s="75" t="str">
        <x:f>IF($E117="","",IFERROR(SUMIFS('Master_BOM'!$J$4:$J$200,'Master_BOM'!$C$4:$C$200,E117),0))</x:f>
      </x:c>
      <x:c r="N117" s="75" t="str">
        <x:f>IF($E117="","",L117+M117)</x:f>
      </x:c>
      <x:c r="O117" s="75" t="str">
        <x:f>IF($E117="","",SUMIFS('Input_Inventory'!$G$4:$G$200,'Input_Inventory'!$C$4:$C$200,E117))</x:f>
      </x:c>
      <x:c r="P117" s="75" t="str">
        <x:f>IF($E117="","",SUMIFS('Input_Inventory'!$L$4:$L$200,'Input_Inventory'!$C$4:$C$200,E117,'Input_Inventory'!$F$4:$F$200,B117))</x:f>
      </x:c>
      <x:c r="Q117" s="75" t="str">
        <x:f>IF($E117="","",O117+P117)</x:f>
      </x:c>
      <x:c r="R117" s="75" t="str">
        <x:f>IF($E117="","",MAX(0,N117-Q117))</x:f>
      </x:c>
      <x:c r="S117" s="75" t="str">
        <x:f>IF($E117="","",SUMIFS('Master_Rules'!$G$4:$G$200,'Master_Rules'!$D$4:$D$200,E117))</x:f>
      </x:c>
      <x:c r="T117" s="75" t="str">
        <x:f>IF($E117="","",IF(S117=0,R117,MAX(S117,CEILING(R117,SUMIFS('Master_Rules'!$H$4:$H$200,'Master_Rules'!$D$4:$D$200,E117)))))</x:f>
      </x:c>
      <x:c r="U117" s="75" t="str">
        <x:f>IF($E117="","",T117*SUMIFS('Master_Rules'!$J$4:$J$200,'Master_Rules'!$D$4:$D$200,E117))</x:f>
      </x:c>
      <x:c r="V117" s="83" t="str">
        <x:f>IF($E117="","",IF(T117&gt;R117,"MOQ 조정",IF(K117="Y","필수품 확인","정상")))</x:f>
      </x:c>
    </x:row>
    <x:row r="118">
      <x:c r="A118" s="71"/>
      <x:c r="B118" s="71"/>
      <x:c r="C118" s="72"/>
      <x:c r="D118" s="72"/>
      <x:c r="E118" s="72"/>
      <x:c r="F118" s="72"/>
      <x:c r="G118" s="72"/>
      <x:c r="H118" s="81" t="str">
        <x:f>IF($E118="","",SUMIFS('Input_OL'!$K$4:$K$200,'Input_OL'!$C$4:$C$200,C118,'Input_OL'!$F$4:$F$200,B118))</x:f>
      </x:c>
      <x:c r="I118" s="81" t="str">
        <x:f>IF($E118="","",SUMIFS('Master_BOM'!$F$4:$F$200,'Master_BOM'!$A$4:$A$200,C118,'Master_BOM'!$C$4:$C$200,E118))</x:f>
      </x:c>
      <x:c r="J118" s="82" t="str">
        <x:f>IF($E118="","",SUMIFS('Master_BOM'!$G$4:$G$200,'Master_BOM'!$A$4:$A$200,C118,'Master_BOM'!$C$4:$C$200,E118))</x:f>
      </x:c>
      <x:c r="K118" s="83" t="str">
        <x:f>IF($E118="","",SUMIFS('Master_BOM'!$H$4:$H$200,'Master_BOM'!$A$4:$A$200,C118,'Master_BOM'!$C$4:$C$200,E118))</x:f>
      </x:c>
      <x:c r="L118" s="75" t="str">
        <x:f>IF($E118="","",IF(K118="Y",H118*I118,H118*I118*J118))</x:f>
      </x:c>
      <x:c r="M118" s="75" t="str">
        <x:f>IF($E118="","",IFERROR(SUMIFS('Master_BOM'!$J$4:$J$200,'Master_BOM'!$C$4:$C$200,E118),0))</x:f>
      </x:c>
      <x:c r="N118" s="75" t="str">
        <x:f>IF($E118="","",L118+M118)</x:f>
      </x:c>
      <x:c r="O118" s="75" t="str">
        <x:f>IF($E118="","",SUMIFS('Input_Inventory'!$G$4:$G$200,'Input_Inventory'!$C$4:$C$200,E118))</x:f>
      </x:c>
      <x:c r="P118" s="75" t="str">
        <x:f>IF($E118="","",SUMIFS('Input_Inventory'!$L$4:$L$200,'Input_Inventory'!$C$4:$C$200,E118,'Input_Inventory'!$F$4:$F$200,B118))</x:f>
      </x:c>
      <x:c r="Q118" s="75" t="str">
        <x:f>IF($E118="","",O118+P118)</x:f>
      </x:c>
      <x:c r="R118" s="75" t="str">
        <x:f>IF($E118="","",MAX(0,N118-Q118))</x:f>
      </x:c>
      <x:c r="S118" s="75" t="str">
        <x:f>IF($E118="","",SUMIFS('Master_Rules'!$G$4:$G$200,'Master_Rules'!$D$4:$D$200,E118))</x:f>
      </x:c>
      <x:c r="T118" s="75" t="str">
        <x:f>IF($E118="","",IF(S118=0,R118,MAX(S118,CEILING(R118,SUMIFS('Master_Rules'!$H$4:$H$200,'Master_Rules'!$D$4:$D$200,E118)))))</x:f>
      </x:c>
      <x:c r="U118" s="75" t="str">
        <x:f>IF($E118="","",T118*SUMIFS('Master_Rules'!$J$4:$J$200,'Master_Rules'!$D$4:$D$200,E118))</x:f>
      </x:c>
      <x:c r="V118" s="83" t="str">
        <x:f>IF($E118="","",IF(T118&gt;R118,"MOQ 조정",IF(K118="Y","필수품 확인","정상")))</x:f>
      </x:c>
    </x:row>
    <x:row r="119">
      <x:c r="A119" s="71"/>
      <x:c r="B119" s="71"/>
      <x:c r="C119" s="72"/>
      <x:c r="D119" s="72"/>
      <x:c r="E119" s="72"/>
      <x:c r="F119" s="72"/>
      <x:c r="G119" s="72"/>
      <x:c r="H119" s="81" t="str">
        <x:f>IF($E119="","",SUMIFS('Input_OL'!$K$4:$K$200,'Input_OL'!$C$4:$C$200,C119,'Input_OL'!$F$4:$F$200,B119))</x:f>
      </x:c>
      <x:c r="I119" s="81" t="str">
        <x:f>IF($E119="","",SUMIFS('Master_BOM'!$F$4:$F$200,'Master_BOM'!$A$4:$A$200,C119,'Master_BOM'!$C$4:$C$200,E119))</x:f>
      </x:c>
      <x:c r="J119" s="82" t="str">
        <x:f>IF($E119="","",SUMIFS('Master_BOM'!$G$4:$G$200,'Master_BOM'!$A$4:$A$200,C119,'Master_BOM'!$C$4:$C$200,E119))</x:f>
      </x:c>
      <x:c r="K119" s="83" t="str">
        <x:f>IF($E119="","",SUMIFS('Master_BOM'!$H$4:$H$200,'Master_BOM'!$A$4:$A$200,C119,'Master_BOM'!$C$4:$C$200,E119))</x:f>
      </x:c>
      <x:c r="L119" s="75" t="str">
        <x:f>IF($E119="","",IF(K119="Y",H119*I119,H119*I119*J119))</x:f>
      </x:c>
      <x:c r="M119" s="75" t="str">
        <x:f>IF($E119="","",IFERROR(SUMIFS('Master_BOM'!$J$4:$J$200,'Master_BOM'!$C$4:$C$200,E119),0))</x:f>
      </x:c>
      <x:c r="N119" s="75" t="str">
        <x:f>IF($E119="","",L119+M119)</x:f>
      </x:c>
      <x:c r="O119" s="75" t="str">
        <x:f>IF($E119="","",SUMIFS('Input_Inventory'!$G$4:$G$200,'Input_Inventory'!$C$4:$C$200,E119))</x:f>
      </x:c>
      <x:c r="P119" s="75" t="str">
        <x:f>IF($E119="","",SUMIFS('Input_Inventory'!$L$4:$L$200,'Input_Inventory'!$C$4:$C$200,E119,'Input_Inventory'!$F$4:$F$200,B119))</x:f>
      </x:c>
      <x:c r="Q119" s="75" t="str">
        <x:f>IF($E119="","",O119+P119)</x:f>
      </x:c>
      <x:c r="R119" s="75" t="str">
        <x:f>IF($E119="","",MAX(0,N119-Q119))</x:f>
      </x:c>
      <x:c r="S119" s="75" t="str">
        <x:f>IF($E119="","",SUMIFS('Master_Rules'!$G$4:$G$200,'Master_Rules'!$D$4:$D$200,E119))</x:f>
      </x:c>
      <x:c r="T119" s="75" t="str">
        <x:f>IF($E119="","",IF(S119=0,R119,MAX(S119,CEILING(R119,SUMIFS('Master_Rules'!$H$4:$H$200,'Master_Rules'!$D$4:$D$200,E119)))))</x:f>
      </x:c>
      <x:c r="U119" s="75" t="str">
        <x:f>IF($E119="","",T119*SUMIFS('Master_Rules'!$J$4:$J$200,'Master_Rules'!$D$4:$D$200,E119))</x:f>
      </x:c>
      <x:c r="V119" s="83" t="str">
        <x:f>IF($E119="","",IF(T119&gt;R119,"MOQ 조정",IF(K119="Y","필수품 확인","정상")))</x:f>
      </x:c>
    </x:row>
    <x:row r="120">
      <x:c r="A120" s="71"/>
      <x:c r="B120" s="71"/>
      <x:c r="C120" s="72"/>
      <x:c r="D120" s="72"/>
      <x:c r="E120" s="72"/>
      <x:c r="F120" s="72"/>
      <x:c r="G120" s="72"/>
      <x:c r="H120" s="81" t="str">
        <x:f>IF($E120="","",SUMIFS('Input_OL'!$K$4:$K$200,'Input_OL'!$C$4:$C$200,C120,'Input_OL'!$F$4:$F$200,B120))</x:f>
      </x:c>
      <x:c r="I120" s="81" t="str">
        <x:f>IF($E120="","",SUMIFS('Master_BOM'!$F$4:$F$200,'Master_BOM'!$A$4:$A$200,C120,'Master_BOM'!$C$4:$C$200,E120))</x:f>
      </x:c>
      <x:c r="J120" s="82" t="str">
        <x:f>IF($E120="","",SUMIFS('Master_BOM'!$G$4:$G$200,'Master_BOM'!$A$4:$A$200,C120,'Master_BOM'!$C$4:$C$200,E120))</x:f>
      </x:c>
      <x:c r="K120" s="83" t="str">
        <x:f>IF($E120="","",SUMIFS('Master_BOM'!$H$4:$H$200,'Master_BOM'!$A$4:$A$200,C120,'Master_BOM'!$C$4:$C$200,E120))</x:f>
      </x:c>
      <x:c r="L120" s="75" t="str">
        <x:f>IF($E120="","",IF(K120="Y",H120*I120,H120*I120*J120))</x:f>
      </x:c>
      <x:c r="M120" s="75" t="str">
        <x:f>IF($E120="","",IFERROR(SUMIFS('Master_BOM'!$J$4:$J$200,'Master_BOM'!$C$4:$C$200,E120),0))</x:f>
      </x:c>
      <x:c r="N120" s="75" t="str">
        <x:f>IF($E120="","",L120+M120)</x:f>
      </x:c>
      <x:c r="O120" s="75" t="str">
        <x:f>IF($E120="","",SUMIFS('Input_Inventory'!$G$4:$G$200,'Input_Inventory'!$C$4:$C$200,E120))</x:f>
      </x:c>
      <x:c r="P120" s="75" t="str">
        <x:f>IF($E120="","",SUMIFS('Input_Inventory'!$L$4:$L$200,'Input_Inventory'!$C$4:$C$200,E120,'Input_Inventory'!$F$4:$F$200,B120))</x:f>
      </x:c>
      <x:c r="Q120" s="75" t="str">
        <x:f>IF($E120="","",O120+P120)</x:f>
      </x:c>
      <x:c r="R120" s="75" t="str">
        <x:f>IF($E120="","",MAX(0,N120-Q120))</x:f>
      </x:c>
      <x:c r="S120" s="75" t="str">
        <x:f>IF($E120="","",SUMIFS('Master_Rules'!$G$4:$G$200,'Master_Rules'!$D$4:$D$200,E120))</x:f>
      </x:c>
      <x:c r="T120" s="75" t="str">
        <x:f>IF($E120="","",IF(S120=0,R120,MAX(S120,CEILING(R120,SUMIFS('Master_Rules'!$H$4:$H$200,'Master_Rules'!$D$4:$D$200,E120)))))</x:f>
      </x:c>
      <x:c r="U120" s="75" t="str">
        <x:f>IF($E120="","",T120*SUMIFS('Master_Rules'!$J$4:$J$200,'Master_Rules'!$D$4:$D$200,E120))</x:f>
      </x:c>
      <x:c r="V120" s="83" t="str">
        <x:f>IF($E120="","",IF(T120&gt;R120,"MOQ 조정",IF(K120="Y","필수품 확인","정상")))</x:f>
      </x:c>
    </x:row>
    <x:row r="121">
      <x:c r="A121" s="71"/>
      <x:c r="B121" s="71"/>
      <x:c r="C121" s="72"/>
      <x:c r="D121" s="72"/>
      <x:c r="E121" s="72"/>
      <x:c r="F121" s="72"/>
      <x:c r="G121" s="72"/>
      <x:c r="H121" s="81" t="str">
        <x:f>IF($E121="","",SUMIFS('Input_OL'!$K$4:$K$200,'Input_OL'!$C$4:$C$200,C121,'Input_OL'!$F$4:$F$200,B121))</x:f>
      </x:c>
      <x:c r="I121" s="81" t="str">
        <x:f>IF($E121="","",SUMIFS('Master_BOM'!$F$4:$F$200,'Master_BOM'!$A$4:$A$200,C121,'Master_BOM'!$C$4:$C$200,E121))</x:f>
      </x:c>
      <x:c r="J121" s="82" t="str">
        <x:f>IF($E121="","",SUMIFS('Master_BOM'!$G$4:$G$200,'Master_BOM'!$A$4:$A$200,C121,'Master_BOM'!$C$4:$C$200,E121))</x:f>
      </x:c>
      <x:c r="K121" s="83" t="str">
        <x:f>IF($E121="","",SUMIFS('Master_BOM'!$H$4:$H$200,'Master_BOM'!$A$4:$A$200,C121,'Master_BOM'!$C$4:$C$200,E121))</x:f>
      </x:c>
      <x:c r="L121" s="75" t="str">
        <x:f>IF($E121="","",IF(K121="Y",H121*I121,H121*I121*J121))</x:f>
      </x:c>
      <x:c r="M121" s="75" t="str">
        <x:f>IF($E121="","",IFERROR(SUMIFS('Master_BOM'!$J$4:$J$200,'Master_BOM'!$C$4:$C$200,E121),0))</x:f>
      </x:c>
      <x:c r="N121" s="75" t="str">
        <x:f>IF($E121="","",L121+M121)</x:f>
      </x:c>
      <x:c r="O121" s="75" t="str">
        <x:f>IF($E121="","",SUMIFS('Input_Inventory'!$G$4:$G$200,'Input_Inventory'!$C$4:$C$200,E121))</x:f>
      </x:c>
      <x:c r="P121" s="75" t="str">
        <x:f>IF($E121="","",SUMIFS('Input_Inventory'!$L$4:$L$200,'Input_Inventory'!$C$4:$C$200,E121,'Input_Inventory'!$F$4:$F$200,B121))</x:f>
      </x:c>
      <x:c r="Q121" s="75" t="str">
        <x:f>IF($E121="","",O121+P121)</x:f>
      </x:c>
      <x:c r="R121" s="75" t="str">
        <x:f>IF($E121="","",MAX(0,N121-Q121))</x:f>
      </x:c>
      <x:c r="S121" s="75" t="str">
        <x:f>IF($E121="","",SUMIFS('Master_Rules'!$G$4:$G$200,'Master_Rules'!$D$4:$D$200,E121))</x:f>
      </x:c>
      <x:c r="T121" s="75" t="str">
        <x:f>IF($E121="","",IF(S121=0,R121,MAX(S121,CEILING(R121,SUMIFS('Master_Rules'!$H$4:$H$200,'Master_Rules'!$D$4:$D$200,E121)))))</x:f>
      </x:c>
      <x:c r="U121" s="75" t="str">
        <x:f>IF($E121="","",T121*SUMIFS('Master_Rules'!$J$4:$J$200,'Master_Rules'!$D$4:$D$200,E121))</x:f>
      </x:c>
      <x:c r="V121" s="83" t="str">
        <x:f>IF($E121="","",IF(T121&gt;R121,"MOQ 조정",IF(K121="Y","필수품 확인","정상")))</x:f>
      </x:c>
    </x:row>
    <x:row r="122">
      <x:c r="A122" s="71"/>
      <x:c r="B122" s="71"/>
      <x:c r="C122" s="72"/>
      <x:c r="D122" s="72"/>
      <x:c r="E122" s="72"/>
      <x:c r="F122" s="72"/>
      <x:c r="G122" s="72"/>
      <x:c r="H122" s="81" t="str">
        <x:f>IF($E122="","",SUMIFS('Input_OL'!$K$4:$K$200,'Input_OL'!$C$4:$C$200,C122,'Input_OL'!$F$4:$F$200,B122))</x:f>
      </x:c>
      <x:c r="I122" s="81" t="str">
        <x:f>IF($E122="","",SUMIFS('Master_BOM'!$F$4:$F$200,'Master_BOM'!$A$4:$A$200,C122,'Master_BOM'!$C$4:$C$200,E122))</x:f>
      </x:c>
      <x:c r="J122" s="82" t="str">
        <x:f>IF($E122="","",SUMIFS('Master_BOM'!$G$4:$G$200,'Master_BOM'!$A$4:$A$200,C122,'Master_BOM'!$C$4:$C$200,E122))</x:f>
      </x:c>
      <x:c r="K122" s="83" t="str">
        <x:f>IF($E122="","",SUMIFS('Master_BOM'!$H$4:$H$200,'Master_BOM'!$A$4:$A$200,C122,'Master_BOM'!$C$4:$C$200,E122))</x:f>
      </x:c>
      <x:c r="L122" s="75" t="str">
        <x:f>IF($E122="","",IF(K122="Y",H122*I122,H122*I122*J122))</x:f>
      </x:c>
      <x:c r="M122" s="75" t="str">
        <x:f>IF($E122="","",IFERROR(SUMIFS('Master_BOM'!$J$4:$J$200,'Master_BOM'!$C$4:$C$200,E122),0))</x:f>
      </x:c>
      <x:c r="N122" s="75" t="str">
        <x:f>IF($E122="","",L122+M122)</x:f>
      </x:c>
      <x:c r="O122" s="75" t="str">
        <x:f>IF($E122="","",SUMIFS('Input_Inventory'!$G$4:$G$200,'Input_Inventory'!$C$4:$C$200,E122))</x:f>
      </x:c>
      <x:c r="P122" s="75" t="str">
        <x:f>IF($E122="","",SUMIFS('Input_Inventory'!$L$4:$L$200,'Input_Inventory'!$C$4:$C$200,E122,'Input_Inventory'!$F$4:$F$200,B122))</x:f>
      </x:c>
      <x:c r="Q122" s="75" t="str">
        <x:f>IF($E122="","",O122+P122)</x:f>
      </x:c>
      <x:c r="R122" s="75" t="str">
        <x:f>IF($E122="","",MAX(0,N122-Q122))</x:f>
      </x:c>
      <x:c r="S122" s="75" t="str">
        <x:f>IF($E122="","",SUMIFS('Master_Rules'!$G$4:$G$200,'Master_Rules'!$D$4:$D$200,E122))</x:f>
      </x:c>
      <x:c r="T122" s="75" t="str">
        <x:f>IF($E122="","",IF(S122=0,R122,MAX(S122,CEILING(R122,SUMIFS('Master_Rules'!$H$4:$H$200,'Master_Rules'!$D$4:$D$200,E122)))))</x:f>
      </x:c>
      <x:c r="U122" s="75" t="str">
        <x:f>IF($E122="","",T122*SUMIFS('Master_Rules'!$J$4:$J$200,'Master_Rules'!$D$4:$D$200,E122))</x:f>
      </x:c>
      <x:c r="V122" s="83" t="str">
        <x:f>IF($E122="","",IF(T122&gt;R122,"MOQ 조정",IF(K122="Y","필수품 확인","정상")))</x:f>
      </x:c>
    </x:row>
    <x:row r="123">
      <x:c r="A123" s="71"/>
      <x:c r="B123" s="71"/>
      <x:c r="C123" s="72"/>
      <x:c r="D123" s="72"/>
      <x:c r="E123" s="72"/>
      <x:c r="F123" s="72"/>
      <x:c r="G123" s="72"/>
      <x:c r="H123" s="81" t="str">
        <x:f>IF($E123="","",SUMIFS('Input_OL'!$K$4:$K$200,'Input_OL'!$C$4:$C$200,C123,'Input_OL'!$F$4:$F$200,B123))</x:f>
      </x:c>
      <x:c r="I123" s="81" t="str">
        <x:f>IF($E123="","",SUMIFS('Master_BOM'!$F$4:$F$200,'Master_BOM'!$A$4:$A$200,C123,'Master_BOM'!$C$4:$C$200,E123))</x:f>
      </x:c>
      <x:c r="J123" s="82" t="str">
        <x:f>IF($E123="","",SUMIFS('Master_BOM'!$G$4:$G$200,'Master_BOM'!$A$4:$A$200,C123,'Master_BOM'!$C$4:$C$200,E123))</x:f>
      </x:c>
      <x:c r="K123" s="83" t="str">
        <x:f>IF($E123="","",SUMIFS('Master_BOM'!$H$4:$H$200,'Master_BOM'!$A$4:$A$200,C123,'Master_BOM'!$C$4:$C$200,E123))</x:f>
      </x:c>
      <x:c r="L123" s="75" t="str">
        <x:f>IF($E123="","",IF(K123="Y",H123*I123,H123*I123*J123))</x:f>
      </x:c>
      <x:c r="M123" s="75" t="str">
        <x:f>IF($E123="","",IFERROR(SUMIFS('Master_BOM'!$J$4:$J$200,'Master_BOM'!$C$4:$C$200,E123),0))</x:f>
      </x:c>
      <x:c r="N123" s="75" t="str">
        <x:f>IF($E123="","",L123+M123)</x:f>
      </x:c>
      <x:c r="O123" s="75" t="str">
        <x:f>IF($E123="","",SUMIFS('Input_Inventory'!$G$4:$G$200,'Input_Inventory'!$C$4:$C$200,E123))</x:f>
      </x:c>
      <x:c r="P123" s="75" t="str">
        <x:f>IF($E123="","",SUMIFS('Input_Inventory'!$L$4:$L$200,'Input_Inventory'!$C$4:$C$200,E123,'Input_Inventory'!$F$4:$F$200,B123))</x:f>
      </x:c>
      <x:c r="Q123" s="75" t="str">
        <x:f>IF($E123="","",O123+P123)</x:f>
      </x:c>
      <x:c r="R123" s="75" t="str">
        <x:f>IF($E123="","",MAX(0,N123-Q123))</x:f>
      </x:c>
      <x:c r="S123" s="75" t="str">
        <x:f>IF($E123="","",SUMIFS('Master_Rules'!$G$4:$G$200,'Master_Rules'!$D$4:$D$200,E123))</x:f>
      </x:c>
      <x:c r="T123" s="75" t="str">
        <x:f>IF($E123="","",IF(S123=0,R123,MAX(S123,CEILING(R123,SUMIFS('Master_Rules'!$H$4:$H$200,'Master_Rules'!$D$4:$D$200,E123)))))</x:f>
      </x:c>
      <x:c r="U123" s="75" t="str">
        <x:f>IF($E123="","",T123*SUMIFS('Master_Rules'!$J$4:$J$200,'Master_Rules'!$D$4:$D$200,E123))</x:f>
      </x:c>
      <x:c r="V123" s="83" t="str">
        <x:f>IF($E123="","",IF(T123&gt;R123,"MOQ 조정",IF(K123="Y","필수품 확인","정상")))</x:f>
      </x:c>
    </x:row>
    <x:row r="124">
      <x:c r="A124" s="71"/>
      <x:c r="B124" s="71"/>
      <x:c r="C124" s="72"/>
      <x:c r="D124" s="72"/>
      <x:c r="E124" s="72"/>
      <x:c r="F124" s="72"/>
      <x:c r="G124" s="72"/>
      <x:c r="H124" s="81" t="str">
        <x:f>IF($E124="","",SUMIFS('Input_OL'!$K$4:$K$200,'Input_OL'!$C$4:$C$200,C124,'Input_OL'!$F$4:$F$200,B124))</x:f>
      </x:c>
      <x:c r="I124" s="81" t="str">
        <x:f>IF($E124="","",SUMIFS('Master_BOM'!$F$4:$F$200,'Master_BOM'!$A$4:$A$200,C124,'Master_BOM'!$C$4:$C$200,E124))</x:f>
      </x:c>
      <x:c r="J124" s="82" t="str">
        <x:f>IF($E124="","",SUMIFS('Master_BOM'!$G$4:$G$200,'Master_BOM'!$A$4:$A$200,C124,'Master_BOM'!$C$4:$C$200,E124))</x:f>
      </x:c>
      <x:c r="K124" s="83" t="str">
        <x:f>IF($E124="","",SUMIFS('Master_BOM'!$H$4:$H$200,'Master_BOM'!$A$4:$A$200,C124,'Master_BOM'!$C$4:$C$200,E124))</x:f>
      </x:c>
      <x:c r="L124" s="75" t="str">
        <x:f>IF($E124="","",IF(K124="Y",H124*I124,H124*I124*J124))</x:f>
      </x:c>
      <x:c r="M124" s="75" t="str">
        <x:f>IF($E124="","",IFERROR(SUMIFS('Master_BOM'!$J$4:$J$200,'Master_BOM'!$C$4:$C$200,E124),0))</x:f>
      </x:c>
      <x:c r="N124" s="75" t="str">
        <x:f>IF($E124="","",L124+M124)</x:f>
      </x:c>
      <x:c r="O124" s="75" t="str">
        <x:f>IF($E124="","",SUMIFS('Input_Inventory'!$G$4:$G$200,'Input_Inventory'!$C$4:$C$200,E124))</x:f>
      </x:c>
      <x:c r="P124" s="75" t="str">
        <x:f>IF($E124="","",SUMIFS('Input_Inventory'!$L$4:$L$200,'Input_Inventory'!$C$4:$C$200,E124,'Input_Inventory'!$F$4:$F$200,B124))</x:f>
      </x:c>
      <x:c r="Q124" s="75" t="str">
        <x:f>IF($E124="","",O124+P124)</x:f>
      </x:c>
      <x:c r="R124" s="75" t="str">
        <x:f>IF($E124="","",MAX(0,N124-Q124))</x:f>
      </x:c>
      <x:c r="S124" s="75" t="str">
        <x:f>IF($E124="","",SUMIFS('Master_Rules'!$G$4:$G$200,'Master_Rules'!$D$4:$D$200,E124))</x:f>
      </x:c>
      <x:c r="T124" s="75" t="str">
        <x:f>IF($E124="","",IF(S124=0,R124,MAX(S124,CEILING(R124,SUMIFS('Master_Rules'!$H$4:$H$200,'Master_Rules'!$D$4:$D$200,E124)))))</x:f>
      </x:c>
      <x:c r="U124" s="75" t="str">
        <x:f>IF($E124="","",T124*SUMIFS('Master_Rules'!$J$4:$J$200,'Master_Rules'!$D$4:$D$200,E124))</x:f>
      </x:c>
      <x:c r="V124" s="83" t="str">
        <x:f>IF($E124="","",IF(T124&gt;R124,"MOQ 조정",IF(K124="Y","필수품 확인","정상")))</x:f>
      </x:c>
    </x:row>
    <x:row r="125">
      <x:c r="A125" s="71"/>
      <x:c r="B125" s="71"/>
      <x:c r="C125" s="72"/>
      <x:c r="D125" s="72"/>
      <x:c r="E125" s="72"/>
      <x:c r="F125" s="72"/>
      <x:c r="G125" s="72"/>
      <x:c r="H125" s="81" t="str">
        <x:f>IF($E125="","",SUMIFS('Input_OL'!$K$4:$K$200,'Input_OL'!$C$4:$C$200,C125,'Input_OL'!$F$4:$F$200,B125))</x:f>
      </x:c>
      <x:c r="I125" s="81" t="str">
        <x:f>IF($E125="","",SUMIFS('Master_BOM'!$F$4:$F$200,'Master_BOM'!$A$4:$A$200,C125,'Master_BOM'!$C$4:$C$200,E125))</x:f>
      </x:c>
      <x:c r="J125" s="82" t="str">
        <x:f>IF($E125="","",SUMIFS('Master_BOM'!$G$4:$G$200,'Master_BOM'!$A$4:$A$200,C125,'Master_BOM'!$C$4:$C$200,E125))</x:f>
      </x:c>
      <x:c r="K125" s="83" t="str">
        <x:f>IF($E125="","",SUMIFS('Master_BOM'!$H$4:$H$200,'Master_BOM'!$A$4:$A$200,C125,'Master_BOM'!$C$4:$C$200,E125))</x:f>
      </x:c>
      <x:c r="L125" s="75" t="str">
        <x:f>IF($E125="","",IF(K125="Y",H125*I125,H125*I125*J125))</x:f>
      </x:c>
      <x:c r="M125" s="75" t="str">
        <x:f>IF($E125="","",IFERROR(SUMIFS('Master_BOM'!$J$4:$J$200,'Master_BOM'!$C$4:$C$200,E125),0))</x:f>
      </x:c>
      <x:c r="N125" s="75" t="str">
        <x:f>IF($E125="","",L125+M125)</x:f>
      </x:c>
      <x:c r="O125" s="75" t="str">
        <x:f>IF($E125="","",SUMIFS('Input_Inventory'!$G$4:$G$200,'Input_Inventory'!$C$4:$C$200,E125))</x:f>
      </x:c>
      <x:c r="P125" s="75" t="str">
        <x:f>IF($E125="","",SUMIFS('Input_Inventory'!$L$4:$L$200,'Input_Inventory'!$C$4:$C$200,E125,'Input_Inventory'!$F$4:$F$200,B125))</x:f>
      </x:c>
      <x:c r="Q125" s="75" t="str">
        <x:f>IF($E125="","",O125+P125)</x:f>
      </x:c>
      <x:c r="R125" s="75" t="str">
        <x:f>IF($E125="","",MAX(0,N125-Q125))</x:f>
      </x:c>
      <x:c r="S125" s="75" t="str">
        <x:f>IF($E125="","",SUMIFS('Master_Rules'!$G$4:$G$200,'Master_Rules'!$D$4:$D$200,E125))</x:f>
      </x:c>
      <x:c r="T125" s="75" t="str">
        <x:f>IF($E125="","",IF(S125=0,R125,MAX(S125,CEILING(R125,SUMIFS('Master_Rules'!$H$4:$H$200,'Master_Rules'!$D$4:$D$200,E125)))))</x:f>
      </x:c>
      <x:c r="U125" s="75" t="str">
        <x:f>IF($E125="","",T125*SUMIFS('Master_Rules'!$J$4:$J$200,'Master_Rules'!$D$4:$D$200,E125))</x:f>
      </x:c>
      <x:c r="V125" s="83" t="str">
        <x:f>IF($E125="","",IF(T125&gt;R125,"MOQ 조정",IF(K125="Y","필수품 확인","정상")))</x:f>
      </x:c>
    </x:row>
    <x:row r="126">
      <x:c r="A126" s="71"/>
      <x:c r="B126" s="71"/>
      <x:c r="C126" s="72"/>
      <x:c r="D126" s="72"/>
      <x:c r="E126" s="72"/>
      <x:c r="F126" s="72"/>
      <x:c r="G126" s="72"/>
      <x:c r="H126" s="81" t="str">
        <x:f>IF($E126="","",SUMIFS('Input_OL'!$K$4:$K$200,'Input_OL'!$C$4:$C$200,C126,'Input_OL'!$F$4:$F$200,B126))</x:f>
      </x:c>
      <x:c r="I126" s="81" t="str">
        <x:f>IF($E126="","",SUMIFS('Master_BOM'!$F$4:$F$200,'Master_BOM'!$A$4:$A$200,C126,'Master_BOM'!$C$4:$C$200,E126))</x:f>
      </x:c>
      <x:c r="J126" s="82" t="str">
        <x:f>IF($E126="","",SUMIFS('Master_BOM'!$G$4:$G$200,'Master_BOM'!$A$4:$A$200,C126,'Master_BOM'!$C$4:$C$200,E126))</x:f>
      </x:c>
      <x:c r="K126" s="83" t="str">
        <x:f>IF($E126="","",SUMIFS('Master_BOM'!$H$4:$H$200,'Master_BOM'!$A$4:$A$200,C126,'Master_BOM'!$C$4:$C$200,E126))</x:f>
      </x:c>
      <x:c r="L126" s="75" t="str">
        <x:f>IF($E126="","",IF(K126="Y",H126*I126,H126*I126*J126))</x:f>
      </x:c>
      <x:c r="M126" s="75" t="str">
        <x:f>IF($E126="","",IFERROR(SUMIFS('Master_BOM'!$J$4:$J$200,'Master_BOM'!$C$4:$C$200,E126),0))</x:f>
      </x:c>
      <x:c r="N126" s="75" t="str">
        <x:f>IF($E126="","",L126+M126)</x:f>
      </x:c>
      <x:c r="O126" s="75" t="str">
        <x:f>IF($E126="","",SUMIFS('Input_Inventory'!$G$4:$G$200,'Input_Inventory'!$C$4:$C$200,E126))</x:f>
      </x:c>
      <x:c r="P126" s="75" t="str">
        <x:f>IF($E126="","",SUMIFS('Input_Inventory'!$L$4:$L$200,'Input_Inventory'!$C$4:$C$200,E126,'Input_Inventory'!$F$4:$F$200,B126))</x:f>
      </x:c>
      <x:c r="Q126" s="75" t="str">
        <x:f>IF($E126="","",O126+P126)</x:f>
      </x:c>
      <x:c r="R126" s="75" t="str">
        <x:f>IF($E126="","",MAX(0,N126-Q126))</x:f>
      </x:c>
      <x:c r="S126" s="75" t="str">
        <x:f>IF($E126="","",SUMIFS('Master_Rules'!$G$4:$G$200,'Master_Rules'!$D$4:$D$200,E126))</x:f>
      </x:c>
      <x:c r="T126" s="75" t="str">
        <x:f>IF($E126="","",IF(S126=0,R126,MAX(S126,CEILING(R126,SUMIFS('Master_Rules'!$H$4:$H$200,'Master_Rules'!$D$4:$D$200,E126)))))</x:f>
      </x:c>
      <x:c r="U126" s="75" t="str">
        <x:f>IF($E126="","",T126*SUMIFS('Master_Rules'!$J$4:$J$200,'Master_Rules'!$D$4:$D$200,E126))</x:f>
      </x:c>
      <x:c r="V126" s="83" t="str">
        <x:f>IF($E126="","",IF(T126&gt;R126,"MOQ 조정",IF(K126="Y","필수품 확인","정상")))</x:f>
      </x:c>
    </x:row>
    <x:row r="127">
      <x:c r="A127" s="71"/>
      <x:c r="B127" s="71"/>
      <x:c r="C127" s="72"/>
      <x:c r="D127" s="72"/>
      <x:c r="E127" s="72"/>
      <x:c r="F127" s="72"/>
      <x:c r="G127" s="72"/>
      <x:c r="H127" s="81" t="str">
        <x:f>IF($E127="","",SUMIFS('Input_OL'!$K$4:$K$200,'Input_OL'!$C$4:$C$200,C127,'Input_OL'!$F$4:$F$200,B127))</x:f>
      </x:c>
      <x:c r="I127" s="81" t="str">
        <x:f>IF($E127="","",SUMIFS('Master_BOM'!$F$4:$F$200,'Master_BOM'!$A$4:$A$200,C127,'Master_BOM'!$C$4:$C$200,E127))</x:f>
      </x:c>
      <x:c r="J127" s="82" t="str">
        <x:f>IF($E127="","",SUMIFS('Master_BOM'!$G$4:$G$200,'Master_BOM'!$A$4:$A$200,C127,'Master_BOM'!$C$4:$C$200,E127))</x:f>
      </x:c>
      <x:c r="K127" s="83" t="str">
        <x:f>IF($E127="","",SUMIFS('Master_BOM'!$H$4:$H$200,'Master_BOM'!$A$4:$A$200,C127,'Master_BOM'!$C$4:$C$200,E127))</x:f>
      </x:c>
      <x:c r="L127" s="75" t="str">
        <x:f>IF($E127="","",IF(K127="Y",H127*I127,H127*I127*J127))</x:f>
      </x:c>
      <x:c r="M127" s="75" t="str">
        <x:f>IF($E127="","",IFERROR(SUMIFS('Master_BOM'!$J$4:$J$200,'Master_BOM'!$C$4:$C$200,E127),0))</x:f>
      </x:c>
      <x:c r="N127" s="75" t="str">
        <x:f>IF($E127="","",L127+M127)</x:f>
      </x:c>
      <x:c r="O127" s="75" t="str">
        <x:f>IF($E127="","",SUMIFS('Input_Inventory'!$G$4:$G$200,'Input_Inventory'!$C$4:$C$200,E127))</x:f>
      </x:c>
      <x:c r="P127" s="75" t="str">
        <x:f>IF($E127="","",SUMIFS('Input_Inventory'!$L$4:$L$200,'Input_Inventory'!$C$4:$C$200,E127,'Input_Inventory'!$F$4:$F$200,B127))</x:f>
      </x:c>
      <x:c r="Q127" s="75" t="str">
        <x:f>IF($E127="","",O127+P127)</x:f>
      </x:c>
      <x:c r="R127" s="75" t="str">
        <x:f>IF($E127="","",MAX(0,N127-Q127))</x:f>
      </x:c>
      <x:c r="S127" s="75" t="str">
        <x:f>IF($E127="","",SUMIFS('Master_Rules'!$G$4:$G$200,'Master_Rules'!$D$4:$D$200,E127))</x:f>
      </x:c>
      <x:c r="T127" s="75" t="str">
        <x:f>IF($E127="","",IF(S127=0,R127,MAX(S127,CEILING(R127,SUMIFS('Master_Rules'!$H$4:$H$200,'Master_Rules'!$D$4:$D$200,E127)))))</x:f>
      </x:c>
      <x:c r="U127" s="75" t="str">
        <x:f>IF($E127="","",T127*SUMIFS('Master_Rules'!$J$4:$J$200,'Master_Rules'!$D$4:$D$200,E127))</x:f>
      </x:c>
      <x:c r="V127" s="83" t="str">
        <x:f>IF($E127="","",IF(T127&gt;R127,"MOQ 조정",IF(K127="Y","필수품 확인","정상")))</x:f>
      </x:c>
    </x:row>
    <x:row r="128">
      <x:c r="A128" s="71"/>
      <x:c r="B128" s="71"/>
      <x:c r="C128" s="72"/>
      <x:c r="D128" s="72"/>
      <x:c r="E128" s="72"/>
      <x:c r="F128" s="72"/>
      <x:c r="G128" s="72"/>
      <x:c r="H128" s="81" t="str">
        <x:f>IF($E128="","",SUMIFS('Input_OL'!$K$4:$K$200,'Input_OL'!$C$4:$C$200,C128,'Input_OL'!$F$4:$F$200,B128))</x:f>
      </x:c>
      <x:c r="I128" s="81" t="str">
        <x:f>IF($E128="","",SUMIFS('Master_BOM'!$F$4:$F$200,'Master_BOM'!$A$4:$A$200,C128,'Master_BOM'!$C$4:$C$200,E128))</x:f>
      </x:c>
      <x:c r="J128" s="82" t="str">
        <x:f>IF($E128="","",SUMIFS('Master_BOM'!$G$4:$G$200,'Master_BOM'!$A$4:$A$200,C128,'Master_BOM'!$C$4:$C$200,E128))</x:f>
      </x:c>
      <x:c r="K128" s="83" t="str">
        <x:f>IF($E128="","",SUMIFS('Master_BOM'!$H$4:$H$200,'Master_BOM'!$A$4:$A$200,C128,'Master_BOM'!$C$4:$C$200,E128))</x:f>
      </x:c>
      <x:c r="L128" s="75" t="str">
        <x:f>IF($E128="","",IF(K128="Y",H128*I128,H128*I128*J128))</x:f>
      </x:c>
      <x:c r="M128" s="75" t="str">
        <x:f>IF($E128="","",IFERROR(SUMIFS('Master_BOM'!$J$4:$J$200,'Master_BOM'!$C$4:$C$200,E128),0))</x:f>
      </x:c>
      <x:c r="N128" s="75" t="str">
        <x:f>IF($E128="","",L128+M128)</x:f>
      </x:c>
      <x:c r="O128" s="75" t="str">
        <x:f>IF($E128="","",SUMIFS('Input_Inventory'!$G$4:$G$200,'Input_Inventory'!$C$4:$C$200,E128))</x:f>
      </x:c>
      <x:c r="P128" s="75" t="str">
        <x:f>IF($E128="","",SUMIFS('Input_Inventory'!$L$4:$L$200,'Input_Inventory'!$C$4:$C$200,E128,'Input_Inventory'!$F$4:$F$200,B128))</x:f>
      </x:c>
      <x:c r="Q128" s="75" t="str">
        <x:f>IF($E128="","",O128+P128)</x:f>
      </x:c>
      <x:c r="R128" s="75" t="str">
        <x:f>IF($E128="","",MAX(0,N128-Q128))</x:f>
      </x:c>
      <x:c r="S128" s="75" t="str">
        <x:f>IF($E128="","",SUMIFS('Master_Rules'!$G$4:$G$200,'Master_Rules'!$D$4:$D$200,E128))</x:f>
      </x:c>
      <x:c r="T128" s="75" t="str">
        <x:f>IF($E128="","",IF(S128=0,R128,MAX(S128,CEILING(R128,SUMIFS('Master_Rules'!$H$4:$H$200,'Master_Rules'!$D$4:$D$200,E128)))))</x:f>
      </x:c>
      <x:c r="U128" s="75" t="str">
        <x:f>IF($E128="","",T128*SUMIFS('Master_Rules'!$J$4:$J$200,'Master_Rules'!$D$4:$D$200,E128))</x:f>
      </x:c>
      <x:c r="V128" s="83" t="str">
        <x:f>IF($E128="","",IF(T128&gt;R128,"MOQ 조정",IF(K128="Y","필수품 확인","정상")))</x:f>
      </x:c>
    </x:row>
    <x:row r="129">
      <x:c r="A129" s="71"/>
      <x:c r="B129" s="71"/>
      <x:c r="C129" s="72"/>
      <x:c r="D129" s="72"/>
      <x:c r="E129" s="72"/>
      <x:c r="F129" s="72"/>
      <x:c r="G129" s="72"/>
      <x:c r="H129" s="81" t="str">
        <x:f>IF($E129="","",SUMIFS('Input_OL'!$K$4:$K$200,'Input_OL'!$C$4:$C$200,C129,'Input_OL'!$F$4:$F$200,B129))</x:f>
      </x:c>
      <x:c r="I129" s="81" t="str">
        <x:f>IF($E129="","",SUMIFS('Master_BOM'!$F$4:$F$200,'Master_BOM'!$A$4:$A$200,C129,'Master_BOM'!$C$4:$C$200,E129))</x:f>
      </x:c>
      <x:c r="J129" s="82" t="str">
        <x:f>IF($E129="","",SUMIFS('Master_BOM'!$G$4:$G$200,'Master_BOM'!$A$4:$A$200,C129,'Master_BOM'!$C$4:$C$200,E129))</x:f>
      </x:c>
      <x:c r="K129" s="83" t="str">
        <x:f>IF($E129="","",SUMIFS('Master_BOM'!$H$4:$H$200,'Master_BOM'!$A$4:$A$200,C129,'Master_BOM'!$C$4:$C$200,E129))</x:f>
      </x:c>
      <x:c r="L129" s="75" t="str">
        <x:f>IF($E129="","",IF(K129="Y",H129*I129,H129*I129*J129))</x:f>
      </x:c>
      <x:c r="M129" s="75" t="str">
        <x:f>IF($E129="","",IFERROR(SUMIFS('Master_BOM'!$J$4:$J$200,'Master_BOM'!$C$4:$C$200,E129),0))</x:f>
      </x:c>
      <x:c r="N129" s="75" t="str">
        <x:f>IF($E129="","",L129+M129)</x:f>
      </x:c>
      <x:c r="O129" s="75" t="str">
        <x:f>IF($E129="","",SUMIFS('Input_Inventory'!$G$4:$G$200,'Input_Inventory'!$C$4:$C$200,E129))</x:f>
      </x:c>
      <x:c r="P129" s="75" t="str">
        <x:f>IF($E129="","",SUMIFS('Input_Inventory'!$L$4:$L$200,'Input_Inventory'!$C$4:$C$200,E129,'Input_Inventory'!$F$4:$F$200,B129))</x:f>
      </x:c>
      <x:c r="Q129" s="75" t="str">
        <x:f>IF($E129="","",O129+P129)</x:f>
      </x:c>
      <x:c r="R129" s="75" t="str">
        <x:f>IF($E129="","",MAX(0,N129-Q129))</x:f>
      </x:c>
      <x:c r="S129" s="75" t="str">
        <x:f>IF($E129="","",SUMIFS('Master_Rules'!$G$4:$G$200,'Master_Rules'!$D$4:$D$200,E129))</x:f>
      </x:c>
      <x:c r="T129" s="75" t="str">
        <x:f>IF($E129="","",IF(S129=0,R129,MAX(S129,CEILING(R129,SUMIFS('Master_Rules'!$H$4:$H$200,'Master_Rules'!$D$4:$D$200,E129)))))</x:f>
      </x:c>
      <x:c r="U129" s="75" t="str">
        <x:f>IF($E129="","",T129*SUMIFS('Master_Rules'!$J$4:$J$200,'Master_Rules'!$D$4:$D$200,E129))</x:f>
      </x:c>
      <x:c r="V129" s="83" t="str">
        <x:f>IF($E129="","",IF(T129&gt;R129,"MOQ 조정",IF(K129="Y","필수품 확인","정상")))</x:f>
      </x:c>
    </x:row>
    <x:row r="130">
      <x:c r="A130" s="71"/>
      <x:c r="B130" s="71"/>
      <x:c r="C130" s="72"/>
      <x:c r="D130" s="72"/>
      <x:c r="E130" s="72"/>
      <x:c r="F130" s="72"/>
      <x:c r="G130" s="72"/>
      <x:c r="H130" s="81" t="str">
        <x:f>IF($E130="","",SUMIFS('Input_OL'!$K$4:$K$200,'Input_OL'!$C$4:$C$200,C130,'Input_OL'!$F$4:$F$200,B130))</x:f>
      </x:c>
      <x:c r="I130" s="81" t="str">
        <x:f>IF($E130="","",SUMIFS('Master_BOM'!$F$4:$F$200,'Master_BOM'!$A$4:$A$200,C130,'Master_BOM'!$C$4:$C$200,E130))</x:f>
      </x:c>
      <x:c r="J130" s="82" t="str">
        <x:f>IF($E130="","",SUMIFS('Master_BOM'!$G$4:$G$200,'Master_BOM'!$A$4:$A$200,C130,'Master_BOM'!$C$4:$C$200,E130))</x:f>
      </x:c>
      <x:c r="K130" s="83" t="str">
        <x:f>IF($E130="","",SUMIFS('Master_BOM'!$H$4:$H$200,'Master_BOM'!$A$4:$A$200,C130,'Master_BOM'!$C$4:$C$200,E130))</x:f>
      </x:c>
      <x:c r="L130" s="75" t="str">
        <x:f>IF($E130="","",IF(K130="Y",H130*I130,H130*I130*J130))</x:f>
      </x:c>
      <x:c r="M130" s="75" t="str">
        <x:f>IF($E130="","",IFERROR(SUMIFS('Master_BOM'!$J$4:$J$200,'Master_BOM'!$C$4:$C$200,E130),0))</x:f>
      </x:c>
      <x:c r="N130" s="75" t="str">
        <x:f>IF($E130="","",L130+M130)</x:f>
      </x:c>
      <x:c r="O130" s="75" t="str">
        <x:f>IF($E130="","",SUMIFS('Input_Inventory'!$G$4:$G$200,'Input_Inventory'!$C$4:$C$200,E130))</x:f>
      </x:c>
      <x:c r="P130" s="75" t="str">
        <x:f>IF($E130="","",SUMIFS('Input_Inventory'!$L$4:$L$200,'Input_Inventory'!$C$4:$C$200,E130,'Input_Inventory'!$F$4:$F$200,B130))</x:f>
      </x:c>
      <x:c r="Q130" s="75" t="str">
        <x:f>IF($E130="","",O130+P130)</x:f>
      </x:c>
      <x:c r="R130" s="75" t="str">
        <x:f>IF($E130="","",MAX(0,N130-Q130))</x:f>
      </x:c>
      <x:c r="S130" s="75" t="str">
        <x:f>IF($E130="","",SUMIFS('Master_Rules'!$G$4:$G$200,'Master_Rules'!$D$4:$D$200,E130))</x:f>
      </x:c>
      <x:c r="T130" s="75" t="str">
        <x:f>IF($E130="","",IF(S130=0,R130,MAX(S130,CEILING(R130,SUMIFS('Master_Rules'!$H$4:$H$200,'Master_Rules'!$D$4:$D$200,E130)))))</x:f>
      </x:c>
      <x:c r="U130" s="75" t="str">
        <x:f>IF($E130="","",T130*SUMIFS('Master_Rules'!$J$4:$J$200,'Master_Rules'!$D$4:$D$200,E130))</x:f>
      </x:c>
      <x:c r="V130" s="83" t="str">
        <x:f>IF($E130="","",IF(T130&gt;R130,"MOQ 조정",IF(K130="Y","필수품 확인","정상")))</x:f>
      </x:c>
    </x:row>
    <x:row r="131">
      <x:c r="A131" s="71"/>
      <x:c r="B131" s="71"/>
      <x:c r="C131" s="72"/>
      <x:c r="D131" s="72"/>
      <x:c r="E131" s="72"/>
      <x:c r="F131" s="72"/>
      <x:c r="G131" s="72"/>
      <x:c r="H131" s="81" t="str">
        <x:f>IF($E131="","",SUMIFS('Input_OL'!$K$4:$K$200,'Input_OL'!$C$4:$C$200,C131,'Input_OL'!$F$4:$F$200,B131))</x:f>
      </x:c>
      <x:c r="I131" s="81" t="str">
        <x:f>IF($E131="","",SUMIFS('Master_BOM'!$F$4:$F$200,'Master_BOM'!$A$4:$A$200,C131,'Master_BOM'!$C$4:$C$200,E131))</x:f>
      </x:c>
      <x:c r="J131" s="82" t="str">
        <x:f>IF($E131="","",SUMIFS('Master_BOM'!$G$4:$G$200,'Master_BOM'!$A$4:$A$200,C131,'Master_BOM'!$C$4:$C$200,E131))</x:f>
      </x:c>
      <x:c r="K131" s="83" t="str">
        <x:f>IF($E131="","",SUMIFS('Master_BOM'!$H$4:$H$200,'Master_BOM'!$A$4:$A$200,C131,'Master_BOM'!$C$4:$C$200,E131))</x:f>
      </x:c>
      <x:c r="L131" s="75" t="str">
        <x:f>IF($E131="","",IF(K131="Y",H131*I131,H131*I131*J131))</x:f>
      </x:c>
      <x:c r="M131" s="75" t="str">
        <x:f>IF($E131="","",IFERROR(SUMIFS('Master_BOM'!$J$4:$J$200,'Master_BOM'!$C$4:$C$200,E131),0))</x:f>
      </x:c>
      <x:c r="N131" s="75" t="str">
        <x:f>IF($E131="","",L131+M131)</x:f>
      </x:c>
      <x:c r="O131" s="75" t="str">
        <x:f>IF($E131="","",SUMIFS('Input_Inventory'!$G$4:$G$200,'Input_Inventory'!$C$4:$C$200,E131))</x:f>
      </x:c>
      <x:c r="P131" s="75" t="str">
        <x:f>IF($E131="","",SUMIFS('Input_Inventory'!$L$4:$L$200,'Input_Inventory'!$C$4:$C$200,E131,'Input_Inventory'!$F$4:$F$200,B131))</x:f>
      </x:c>
      <x:c r="Q131" s="75" t="str">
        <x:f>IF($E131="","",O131+P131)</x:f>
      </x:c>
      <x:c r="R131" s="75" t="str">
        <x:f>IF($E131="","",MAX(0,N131-Q131))</x:f>
      </x:c>
      <x:c r="S131" s="75" t="str">
        <x:f>IF($E131="","",SUMIFS('Master_Rules'!$G$4:$G$200,'Master_Rules'!$D$4:$D$200,E131))</x:f>
      </x:c>
      <x:c r="T131" s="75" t="str">
        <x:f>IF($E131="","",IF(S131=0,R131,MAX(S131,CEILING(R131,SUMIFS('Master_Rules'!$H$4:$H$200,'Master_Rules'!$D$4:$D$200,E131)))))</x:f>
      </x:c>
      <x:c r="U131" s="75" t="str">
        <x:f>IF($E131="","",T131*SUMIFS('Master_Rules'!$J$4:$J$200,'Master_Rules'!$D$4:$D$200,E131))</x:f>
      </x:c>
      <x:c r="V131" s="83" t="str">
        <x:f>IF($E131="","",IF(T131&gt;R131,"MOQ 조정",IF(K131="Y","필수품 확인","정상")))</x:f>
      </x:c>
    </x:row>
    <x:row r="132">
      <x:c r="A132" s="71"/>
      <x:c r="B132" s="71"/>
      <x:c r="C132" s="72"/>
      <x:c r="D132" s="72"/>
      <x:c r="E132" s="72"/>
      <x:c r="F132" s="72"/>
      <x:c r="G132" s="72"/>
      <x:c r="H132" s="81" t="str">
        <x:f>IF($E132="","",SUMIFS('Input_OL'!$K$4:$K$200,'Input_OL'!$C$4:$C$200,C132,'Input_OL'!$F$4:$F$200,B132))</x:f>
      </x:c>
      <x:c r="I132" s="81" t="str">
        <x:f>IF($E132="","",SUMIFS('Master_BOM'!$F$4:$F$200,'Master_BOM'!$A$4:$A$200,C132,'Master_BOM'!$C$4:$C$200,E132))</x:f>
      </x:c>
      <x:c r="J132" s="82" t="str">
        <x:f>IF($E132="","",SUMIFS('Master_BOM'!$G$4:$G$200,'Master_BOM'!$A$4:$A$200,C132,'Master_BOM'!$C$4:$C$200,E132))</x:f>
      </x:c>
      <x:c r="K132" s="83" t="str">
        <x:f>IF($E132="","",SUMIFS('Master_BOM'!$H$4:$H$200,'Master_BOM'!$A$4:$A$200,C132,'Master_BOM'!$C$4:$C$200,E132))</x:f>
      </x:c>
      <x:c r="L132" s="75" t="str">
        <x:f>IF($E132="","",IF(K132="Y",H132*I132,H132*I132*J132))</x:f>
      </x:c>
      <x:c r="M132" s="75" t="str">
        <x:f>IF($E132="","",IFERROR(SUMIFS('Master_BOM'!$J$4:$J$200,'Master_BOM'!$C$4:$C$200,E132),0))</x:f>
      </x:c>
      <x:c r="N132" s="75" t="str">
        <x:f>IF($E132="","",L132+M132)</x:f>
      </x:c>
      <x:c r="O132" s="75" t="str">
        <x:f>IF($E132="","",SUMIFS('Input_Inventory'!$G$4:$G$200,'Input_Inventory'!$C$4:$C$200,E132))</x:f>
      </x:c>
      <x:c r="P132" s="75" t="str">
        <x:f>IF($E132="","",SUMIFS('Input_Inventory'!$L$4:$L$200,'Input_Inventory'!$C$4:$C$200,E132,'Input_Inventory'!$F$4:$F$200,B132))</x:f>
      </x:c>
      <x:c r="Q132" s="75" t="str">
        <x:f>IF($E132="","",O132+P132)</x:f>
      </x:c>
      <x:c r="R132" s="75" t="str">
        <x:f>IF($E132="","",MAX(0,N132-Q132))</x:f>
      </x:c>
      <x:c r="S132" s="75" t="str">
        <x:f>IF($E132="","",SUMIFS('Master_Rules'!$G$4:$G$200,'Master_Rules'!$D$4:$D$200,E132))</x:f>
      </x:c>
      <x:c r="T132" s="75" t="str">
        <x:f>IF($E132="","",IF(S132=0,R132,MAX(S132,CEILING(R132,SUMIFS('Master_Rules'!$H$4:$H$200,'Master_Rules'!$D$4:$D$200,E132)))))</x:f>
      </x:c>
      <x:c r="U132" s="75" t="str">
        <x:f>IF($E132="","",T132*SUMIFS('Master_Rules'!$J$4:$J$200,'Master_Rules'!$D$4:$D$200,E132))</x:f>
      </x:c>
      <x:c r="V132" s="83" t="str">
        <x:f>IF($E132="","",IF(T132&gt;R132,"MOQ 조정",IF(K132="Y","필수품 확인","정상")))</x:f>
      </x:c>
    </x:row>
    <x:row r="133">
      <x:c r="A133" s="71"/>
      <x:c r="B133" s="71"/>
      <x:c r="C133" s="72"/>
      <x:c r="D133" s="72"/>
      <x:c r="E133" s="72"/>
      <x:c r="F133" s="72"/>
      <x:c r="G133" s="72"/>
      <x:c r="H133" s="81" t="str">
        <x:f>IF($E133="","",SUMIFS('Input_OL'!$K$4:$K$200,'Input_OL'!$C$4:$C$200,C133,'Input_OL'!$F$4:$F$200,B133))</x:f>
      </x:c>
      <x:c r="I133" s="81" t="str">
        <x:f>IF($E133="","",SUMIFS('Master_BOM'!$F$4:$F$200,'Master_BOM'!$A$4:$A$200,C133,'Master_BOM'!$C$4:$C$200,E133))</x:f>
      </x:c>
      <x:c r="J133" s="82" t="str">
        <x:f>IF($E133="","",SUMIFS('Master_BOM'!$G$4:$G$200,'Master_BOM'!$A$4:$A$200,C133,'Master_BOM'!$C$4:$C$200,E133))</x:f>
      </x:c>
      <x:c r="K133" s="83" t="str">
        <x:f>IF($E133="","",SUMIFS('Master_BOM'!$H$4:$H$200,'Master_BOM'!$A$4:$A$200,C133,'Master_BOM'!$C$4:$C$200,E133))</x:f>
      </x:c>
      <x:c r="L133" s="75" t="str">
        <x:f>IF($E133="","",IF(K133="Y",H133*I133,H133*I133*J133))</x:f>
      </x:c>
      <x:c r="M133" s="75" t="str">
        <x:f>IF($E133="","",IFERROR(SUMIFS('Master_BOM'!$J$4:$J$200,'Master_BOM'!$C$4:$C$200,E133),0))</x:f>
      </x:c>
      <x:c r="N133" s="75" t="str">
        <x:f>IF($E133="","",L133+M133)</x:f>
      </x:c>
      <x:c r="O133" s="75" t="str">
        <x:f>IF($E133="","",SUMIFS('Input_Inventory'!$G$4:$G$200,'Input_Inventory'!$C$4:$C$200,E133))</x:f>
      </x:c>
      <x:c r="P133" s="75" t="str">
        <x:f>IF($E133="","",SUMIFS('Input_Inventory'!$L$4:$L$200,'Input_Inventory'!$C$4:$C$200,E133,'Input_Inventory'!$F$4:$F$200,B133))</x:f>
      </x:c>
      <x:c r="Q133" s="75" t="str">
        <x:f>IF($E133="","",O133+P133)</x:f>
      </x:c>
      <x:c r="R133" s="75" t="str">
        <x:f>IF($E133="","",MAX(0,N133-Q133))</x:f>
      </x:c>
      <x:c r="S133" s="75" t="str">
        <x:f>IF($E133="","",SUMIFS('Master_Rules'!$G$4:$G$200,'Master_Rules'!$D$4:$D$200,E133))</x:f>
      </x:c>
      <x:c r="T133" s="75" t="str">
        <x:f>IF($E133="","",IF(S133=0,R133,MAX(S133,CEILING(R133,SUMIFS('Master_Rules'!$H$4:$H$200,'Master_Rules'!$D$4:$D$200,E133)))))</x:f>
      </x:c>
      <x:c r="U133" s="75" t="str">
        <x:f>IF($E133="","",T133*SUMIFS('Master_Rules'!$J$4:$J$200,'Master_Rules'!$D$4:$D$200,E133))</x:f>
      </x:c>
      <x:c r="V133" s="83" t="str">
        <x:f>IF($E133="","",IF(T133&gt;R133,"MOQ 조정",IF(K133="Y","필수품 확인","정상")))</x:f>
      </x:c>
    </x:row>
    <x:row r="134">
      <x:c r="A134" s="71"/>
      <x:c r="B134" s="71"/>
      <x:c r="C134" s="72"/>
      <x:c r="D134" s="72"/>
      <x:c r="E134" s="72"/>
      <x:c r="F134" s="72"/>
      <x:c r="G134" s="72"/>
      <x:c r="H134" s="81" t="str">
        <x:f>IF($E134="","",SUMIFS('Input_OL'!$K$4:$K$200,'Input_OL'!$C$4:$C$200,C134,'Input_OL'!$F$4:$F$200,B134))</x:f>
      </x:c>
      <x:c r="I134" s="81" t="str">
        <x:f>IF($E134="","",SUMIFS('Master_BOM'!$F$4:$F$200,'Master_BOM'!$A$4:$A$200,C134,'Master_BOM'!$C$4:$C$200,E134))</x:f>
      </x:c>
      <x:c r="J134" s="82" t="str">
        <x:f>IF($E134="","",SUMIFS('Master_BOM'!$G$4:$G$200,'Master_BOM'!$A$4:$A$200,C134,'Master_BOM'!$C$4:$C$200,E134))</x:f>
      </x:c>
      <x:c r="K134" s="83" t="str">
        <x:f>IF($E134="","",SUMIFS('Master_BOM'!$H$4:$H$200,'Master_BOM'!$A$4:$A$200,C134,'Master_BOM'!$C$4:$C$200,E134))</x:f>
      </x:c>
      <x:c r="L134" s="75" t="str">
        <x:f>IF($E134="","",IF(K134="Y",H134*I134,H134*I134*J134))</x:f>
      </x:c>
      <x:c r="M134" s="75" t="str">
        <x:f>IF($E134="","",IFERROR(SUMIFS('Master_BOM'!$J$4:$J$200,'Master_BOM'!$C$4:$C$200,E134),0))</x:f>
      </x:c>
      <x:c r="N134" s="75" t="str">
        <x:f>IF($E134="","",L134+M134)</x:f>
      </x:c>
      <x:c r="O134" s="75" t="str">
        <x:f>IF($E134="","",SUMIFS('Input_Inventory'!$G$4:$G$200,'Input_Inventory'!$C$4:$C$200,E134))</x:f>
      </x:c>
      <x:c r="P134" s="75" t="str">
        <x:f>IF($E134="","",SUMIFS('Input_Inventory'!$L$4:$L$200,'Input_Inventory'!$C$4:$C$200,E134,'Input_Inventory'!$F$4:$F$200,B134))</x:f>
      </x:c>
      <x:c r="Q134" s="75" t="str">
        <x:f>IF($E134="","",O134+P134)</x:f>
      </x:c>
      <x:c r="R134" s="75" t="str">
        <x:f>IF($E134="","",MAX(0,N134-Q134))</x:f>
      </x:c>
      <x:c r="S134" s="75" t="str">
        <x:f>IF($E134="","",SUMIFS('Master_Rules'!$G$4:$G$200,'Master_Rules'!$D$4:$D$200,E134))</x:f>
      </x:c>
      <x:c r="T134" s="75" t="str">
        <x:f>IF($E134="","",IF(S134=0,R134,MAX(S134,CEILING(R134,SUMIFS('Master_Rules'!$H$4:$H$200,'Master_Rules'!$D$4:$D$200,E134)))))</x:f>
      </x:c>
      <x:c r="U134" s="75" t="str">
        <x:f>IF($E134="","",T134*SUMIFS('Master_Rules'!$J$4:$J$200,'Master_Rules'!$D$4:$D$200,E134))</x:f>
      </x:c>
      <x:c r="V134" s="83" t="str">
        <x:f>IF($E134="","",IF(T134&gt;R134,"MOQ 조정",IF(K134="Y","필수품 확인","정상")))</x:f>
      </x:c>
    </x:row>
    <x:row r="135">
      <x:c r="A135" s="71"/>
      <x:c r="B135" s="71"/>
      <x:c r="C135" s="72"/>
      <x:c r="D135" s="72"/>
      <x:c r="E135" s="72"/>
      <x:c r="F135" s="72"/>
      <x:c r="G135" s="72"/>
      <x:c r="H135" s="81" t="str">
        <x:f>IF($E135="","",SUMIFS('Input_OL'!$K$4:$K$200,'Input_OL'!$C$4:$C$200,C135,'Input_OL'!$F$4:$F$200,B135))</x:f>
      </x:c>
      <x:c r="I135" s="81" t="str">
        <x:f>IF($E135="","",SUMIFS('Master_BOM'!$F$4:$F$200,'Master_BOM'!$A$4:$A$200,C135,'Master_BOM'!$C$4:$C$200,E135))</x:f>
      </x:c>
      <x:c r="J135" s="82" t="str">
        <x:f>IF($E135="","",SUMIFS('Master_BOM'!$G$4:$G$200,'Master_BOM'!$A$4:$A$200,C135,'Master_BOM'!$C$4:$C$200,E135))</x:f>
      </x:c>
      <x:c r="K135" s="83" t="str">
        <x:f>IF($E135="","",SUMIFS('Master_BOM'!$H$4:$H$200,'Master_BOM'!$A$4:$A$200,C135,'Master_BOM'!$C$4:$C$200,E135))</x:f>
      </x:c>
      <x:c r="L135" s="75" t="str">
        <x:f>IF($E135="","",IF(K135="Y",H135*I135,H135*I135*J135))</x:f>
      </x:c>
      <x:c r="M135" s="75" t="str">
        <x:f>IF($E135="","",IFERROR(SUMIFS('Master_BOM'!$J$4:$J$200,'Master_BOM'!$C$4:$C$200,E135),0))</x:f>
      </x:c>
      <x:c r="N135" s="75" t="str">
        <x:f>IF($E135="","",L135+M135)</x:f>
      </x:c>
      <x:c r="O135" s="75" t="str">
        <x:f>IF($E135="","",SUMIFS('Input_Inventory'!$G$4:$G$200,'Input_Inventory'!$C$4:$C$200,E135))</x:f>
      </x:c>
      <x:c r="P135" s="75" t="str">
        <x:f>IF($E135="","",SUMIFS('Input_Inventory'!$L$4:$L$200,'Input_Inventory'!$C$4:$C$200,E135,'Input_Inventory'!$F$4:$F$200,B135))</x:f>
      </x:c>
      <x:c r="Q135" s="75" t="str">
        <x:f>IF($E135="","",O135+P135)</x:f>
      </x:c>
      <x:c r="R135" s="75" t="str">
        <x:f>IF($E135="","",MAX(0,N135-Q135))</x:f>
      </x:c>
      <x:c r="S135" s="75" t="str">
        <x:f>IF($E135="","",SUMIFS('Master_Rules'!$G$4:$G$200,'Master_Rules'!$D$4:$D$200,E135))</x:f>
      </x:c>
      <x:c r="T135" s="75" t="str">
        <x:f>IF($E135="","",IF(S135=0,R135,MAX(S135,CEILING(R135,SUMIFS('Master_Rules'!$H$4:$H$200,'Master_Rules'!$D$4:$D$200,E135)))))</x:f>
      </x:c>
      <x:c r="U135" s="75" t="str">
        <x:f>IF($E135="","",T135*SUMIFS('Master_Rules'!$J$4:$J$200,'Master_Rules'!$D$4:$D$200,E135))</x:f>
      </x:c>
      <x:c r="V135" s="83" t="str">
        <x:f>IF($E135="","",IF(T135&gt;R135,"MOQ 조정",IF(K135="Y","필수품 확인","정상")))</x:f>
      </x:c>
    </x:row>
    <x:row r="136">
      <x:c r="A136" s="71"/>
      <x:c r="B136" s="71"/>
      <x:c r="C136" s="72"/>
      <x:c r="D136" s="72"/>
      <x:c r="E136" s="72"/>
      <x:c r="F136" s="72"/>
      <x:c r="G136" s="72"/>
      <x:c r="H136" s="81" t="str">
        <x:f>IF($E136="","",SUMIFS('Input_OL'!$K$4:$K$200,'Input_OL'!$C$4:$C$200,C136,'Input_OL'!$F$4:$F$200,B136))</x:f>
      </x:c>
      <x:c r="I136" s="81" t="str">
        <x:f>IF($E136="","",SUMIFS('Master_BOM'!$F$4:$F$200,'Master_BOM'!$A$4:$A$200,C136,'Master_BOM'!$C$4:$C$200,E136))</x:f>
      </x:c>
      <x:c r="J136" s="82" t="str">
        <x:f>IF($E136="","",SUMIFS('Master_BOM'!$G$4:$G$200,'Master_BOM'!$A$4:$A$200,C136,'Master_BOM'!$C$4:$C$200,E136))</x:f>
      </x:c>
      <x:c r="K136" s="83" t="str">
        <x:f>IF($E136="","",SUMIFS('Master_BOM'!$H$4:$H$200,'Master_BOM'!$A$4:$A$200,C136,'Master_BOM'!$C$4:$C$200,E136))</x:f>
      </x:c>
      <x:c r="L136" s="75" t="str">
        <x:f>IF($E136="","",IF(K136="Y",H136*I136,H136*I136*J136))</x:f>
      </x:c>
      <x:c r="M136" s="75" t="str">
        <x:f>IF($E136="","",IFERROR(SUMIFS('Master_BOM'!$J$4:$J$200,'Master_BOM'!$C$4:$C$200,E136),0))</x:f>
      </x:c>
      <x:c r="N136" s="75" t="str">
        <x:f>IF($E136="","",L136+M136)</x:f>
      </x:c>
      <x:c r="O136" s="75" t="str">
        <x:f>IF($E136="","",SUMIFS('Input_Inventory'!$G$4:$G$200,'Input_Inventory'!$C$4:$C$200,E136))</x:f>
      </x:c>
      <x:c r="P136" s="75" t="str">
        <x:f>IF($E136="","",SUMIFS('Input_Inventory'!$L$4:$L$200,'Input_Inventory'!$C$4:$C$200,E136,'Input_Inventory'!$F$4:$F$200,B136))</x:f>
      </x:c>
      <x:c r="Q136" s="75" t="str">
        <x:f>IF($E136="","",O136+P136)</x:f>
      </x:c>
      <x:c r="R136" s="75" t="str">
        <x:f>IF($E136="","",MAX(0,N136-Q136))</x:f>
      </x:c>
      <x:c r="S136" s="75" t="str">
        <x:f>IF($E136="","",SUMIFS('Master_Rules'!$G$4:$G$200,'Master_Rules'!$D$4:$D$200,E136))</x:f>
      </x:c>
      <x:c r="T136" s="75" t="str">
        <x:f>IF($E136="","",IF(S136=0,R136,MAX(S136,CEILING(R136,SUMIFS('Master_Rules'!$H$4:$H$200,'Master_Rules'!$D$4:$D$200,E136)))))</x:f>
      </x:c>
      <x:c r="U136" s="75" t="str">
        <x:f>IF($E136="","",T136*SUMIFS('Master_Rules'!$J$4:$J$200,'Master_Rules'!$D$4:$D$200,E136))</x:f>
      </x:c>
      <x:c r="V136" s="83" t="str">
        <x:f>IF($E136="","",IF(T136&gt;R136,"MOQ 조정",IF(K136="Y","필수품 확인","정상")))</x:f>
      </x:c>
    </x:row>
    <x:row r="137">
      <x:c r="A137" s="71"/>
      <x:c r="B137" s="71"/>
      <x:c r="C137" s="72"/>
      <x:c r="D137" s="72"/>
      <x:c r="E137" s="72"/>
      <x:c r="F137" s="72"/>
      <x:c r="G137" s="72"/>
      <x:c r="H137" s="81" t="str">
        <x:f>IF($E137="","",SUMIFS('Input_OL'!$K$4:$K$200,'Input_OL'!$C$4:$C$200,C137,'Input_OL'!$F$4:$F$200,B137))</x:f>
      </x:c>
      <x:c r="I137" s="81" t="str">
        <x:f>IF($E137="","",SUMIFS('Master_BOM'!$F$4:$F$200,'Master_BOM'!$A$4:$A$200,C137,'Master_BOM'!$C$4:$C$200,E137))</x:f>
      </x:c>
      <x:c r="J137" s="82" t="str">
        <x:f>IF($E137="","",SUMIFS('Master_BOM'!$G$4:$G$200,'Master_BOM'!$A$4:$A$200,C137,'Master_BOM'!$C$4:$C$200,E137))</x:f>
      </x:c>
      <x:c r="K137" s="83" t="str">
        <x:f>IF($E137="","",SUMIFS('Master_BOM'!$H$4:$H$200,'Master_BOM'!$A$4:$A$200,C137,'Master_BOM'!$C$4:$C$200,E137))</x:f>
      </x:c>
      <x:c r="L137" s="75" t="str">
        <x:f>IF($E137="","",IF(K137="Y",H137*I137,H137*I137*J137))</x:f>
      </x:c>
      <x:c r="M137" s="75" t="str">
        <x:f>IF($E137="","",IFERROR(SUMIFS('Master_BOM'!$J$4:$J$200,'Master_BOM'!$C$4:$C$200,E137),0))</x:f>
      </x:c>
      <x:c r="N137" s="75" t="str">
        <x:f>IF($E137="","",L137+M137)</x:f>
      </x:c>
      <x:c r="O137" s="75" t="str">
        <x:f>IF($E137="","",SUMIFS('Input_Inventory'!$G$4:$G$200,'Input_Inventory'!$C$4:$C$200,E137))</x:f>
      </x:c>
      <x:c r="P137" s="75" t="str">
        <x:f>IF($E137="","",SUMIFS('Input_Inventory'!$L$4:$L$200,'Input_Inventory'!$C$4:$C$200,E137,'Input_Inventory'!$F$4:$F$200,B137))</x:f>
      </x:c>
      <x:c r="Q137" s="75" t="str">
        <x:f>IF($E137="","",O137+P137)</x:f>
      </x:c>
      <x:c r="R137" s="75" t="str">
        <x:f>IF($E137="","",MAX(0,N137-Q137))</x:f>
      </x:c>
      <x:c r="S137" s="75" t="str">
        <x:f>IF($E137="","",SUMIFS('Master_Rules'!$G$4:$G$200,'Master_Rules'!$D$4:$D$200,E137))</x:f>
      </x:c>
      <x:c r="T137" s="75" t="str">
        <x:f>IF($E137="","",IF(S137=0,R137,MAX(S137,CEILING(R137,SUMIFS('Master_Rules'!$H$4:$H$200,'Master_Rules'!$D$4:$D$200,E137)))))</x:f>
      </x:c>
      <x:c r="U137" s="75" t="str">
        <x:f>IF($E137="","",T137*SUMIFS('Master_Rules'!$J$4:$J$200,'Master_Rules'!$D$4:$D$200,E137))</x:f>
      </x:c>
      <x:c r="V137" s="83" t="str">
        <x:f>IF($E137="","",IF(T137&gt;R137,"MOQ 조정",IF(K137="Y","필수품 확인","정상")))</x:f>
      </x:c>
    </x:row>
    <x:row r="138">
      <x:c r="A138" s="71"/>
      <x:c r="B138" s="71"/>
      <x:c r="C138" s="72"/>
      <x:c r="D138" s="72"/>
      <x:c r="E138" s="72"/>
      <x:c r="F138" s="72"/>
      <x:c r="G138" s="72"/>
      <x:c r="H138" s="81" t="str">
        <x:f>IF($E138="","",SUMIFS('Input_OL'!$K$4:$K$200,'Input_OL'!$C$4:$C$200,C138,'Input_OL'!$F$4:$F$200,B138))</x:f>
      </x:c>
      <x:c r="I138" s="81" t="str">
        <x:f>IF($E138="","",SUMIFS('Master_BOM'!$F$4:$F$200,'Master_BOM'!$A$4:$A$200,C138,'Master_BOM'!$C$4:$C$200,E138))</x:f>
      </x:c>
      <x:c r="J138" s="82" t="str">
        <x:f>IF($E138="","",SUMIFS('Master_BOM'!$G$4:$G$200,'Master_BOM'!$A$4:$A$200,C138,'Master_BOM'!$C$4:$C$200,E138))</x:f>
      </x:c>
      <x:c r="K138" s="83" t="str">
        <x:f>IF($E138="","",SUMIFS('Master_BOM'!$H$4:$H$200,'Master_BOM'!$A$4:$A$200,C138,'Master_BOM'!$C$4:$C$200,E138))</x:f>
      </x:c>
      <x:c r="L138" s="75" t="str">
        <x:f>IF($E138="","",IF(K138="Y",H138*I138,H138*I138*J138))</x:f>
      </x:c>
      <x:c r="M138" s="75" t="str">
        <x:f>IF($E138="","",IFERROR(SUMIFS('Master_BOM'!$J$4:$J$200,'Master_BOM'!$C$4:$C$200,E138),0))</x:f>
      </x:c>
      <x:c r="N138" s="75" t="str">
        <x:f>IF($E138="","",L138+M138)</x:f>
      </x:c>
      <x:c r="O138" s="75" t="str">
        <x:f>IF($E138="","",SUMIFS('Input_Inventory'!$G$4:$G$200,'Input_Inventory'!$C$4:$C$200,E138))</x:f>
      </x:c>
      <x:c r="P138" s="75" t="str">
        <x:f>IF($E138="","",SUMIFS('Input_Inventory'!$L$4:$L$200,'Input_Inventory'!$C$4:$C$200,E138,'Input_Inventory'!$F$4:$F$200,B138))</x:f>
      </x:c>
      <x:c r="Q138" s="75" t="str">
        <x:f>IF($E138="","",O138+P138)</x:f>
      </x:c>
      <x:c r="R138" s="75" t="str">
        <x:f>IF($E138="","",MAX(0,N138-Q138))</x:f>
      </x:c>
      <x:c r="S138" s="75" t="str">
        <x:f>IF($E138="","",SUMIFS('Master_Rules'!$G$4:$G$200,'Master_Rules'!$D$4:$D$200,E138))</x:f>
      </x:c>
      <x:c r="T138" s="75" t="str">
        <x:f>IF($E138="","",IF(S138=0,R138,MAX(S138,CEILING(R138,SUMIFS('Master_Rules'!$H$4:$H$200,'Master_Rules'!$D$4:$D$200,E138)))))</x:f>
      </x:c>
      <x:c r="U138" s="75" t="str">
        <x:f>IF($E138="","",T138*SUMIFS('Master_Rules'!$J$4:$J$200,'Master_Rules'!$D$4:$D$200,E138))</x:f>
      </x:c>
      <x:c r="V138" s="83" t="str">
        <x:f>IF($E138="","",IF(T138&gt;R138,"MOQ 조정",IF(K138="Y","필수품 확인","정상")))</x:f>
      </x:c>
    </x:row>
    <x:row r="139">
      <x:c r="A139" s="71"/>
      <x:c r="B139" s="71"/>
      <x:c r="C139" s="72"/>
      <x:c r="D139" s="72"/>
      <x:c r="E139" s="72"/>
      <x:c r="F139" s="72"/>
      <x:c r="G139" s="72"/>
      <x:c r="H139" s="81" t="str">
        <x:f>IF($E139="","",SUMIFS('Input_OL'!$K$4:$K$200,'Input_OL'!$C$4:$C$200,C139,'Input_OL'!$F$4:$F$200,B139))</x:f>
      </x:c>
      <x:c r="I139" s="81" t="str">
        <x:f>IF($E139="","",SUMIFS('Master_BOM'!$F$4:$F$200,'Master_BOM'!$A$4:$A$200,C139,'Master_BOM'!$C$4:$C$200,E139))</x:f>
      </x:c>
      <x:c r="J139" s="82" t="str">
        <x:f>IF($E139="","",SUMIFS('Master_BOM'!$G$4:$G$200,'Master_BOM'!$A$4:$A$200,C139,'Master_BOM'!$C$4:$C$200,E139))</x:f>
      </x:c>
      <x:c r="K139" s="83" t="str">
        <x:f>IF($E139="","",SUMIFS('Master_BOM'!$H$4:$H$200,'Master_BOM'!$A$4:$A$200,C139,'Master_BOM'!$C$4:$C$200,E139))</x:f>
      </x:c>
      <x:c r="L139" s="75" t="str">
        <x:f>IF($E139="","",IF(K139="Y",H139*I139,H139*I139*J139))</x:f>
      </x:c>
      <x:c r="M139" s="75" t="str">
        <x:f>IF($E139="","",IFERROR(SUMIFS('Master_BOM'!$J$4:$J$200,'Master_BOM'!$C$4:$C$200,E139),0))</x:f>
      </x:c>
      <x:c r="N139" s="75" t="str">
        <x:f>IF($E139="","",L139+M139)</x:f>
      </x:c>
      <x:c r="O139" s="75" t="str">
        <x:f>IF($E139="","",SUMIFS('Input_Inventory'!$G$4:$G$200,'Input_Inventory'!$C$4:$C$200,E139))</x:f>
      </x:c>
      <x:c r="P139" s="75" t="str">
        <x:f>IF($E139="","",SUMIFS('Input_Inventory'!$L$4:$L$200,'Input_Inventory'!$C$4:$C$200,E139,'Input_Inventory'!$F$4:$F$200,B139))</x:f>
      </x:c>
      <x:c r="Q139" s="75" t="str">
        <x:f>IF($E139="","",O139+P139)</x:f>
      </x:c>
      <x:c r="R139" s="75" t="str">
        <x:f>IF($E139="","",MAX(0,N139-Q139))</x:f>
      </x:c>
      <x:c r="S139" s="75" t="str">
        <x:f>IF($E139="","",SUMIFS('Master_Rules'!$G$4:$G$200,'Master_Rules'!$D$4:$D$200,E139))</x:f>
      </x:c>
      <x:c r="T139" s="75" t="str">
        <x:f>IF($E139="","",IF(S139=0,R139,MAX(S139,CEILING(R139,SUMIFS('Master_Rules'!$H$4:$H$200,'Master_Rules'!$D$4:$D$200,E139)))))</x:f>
      </x:c>
      <x:c r="U139" s="75" t="str">
        <x:f>IF($E139="","",T139*SUMIFS('Master_Rules'!$J$4:$J$200,'Master_Rules'!$D$4:$D$200,E139))</x:f>
      </x:c>
      <x:c r="V139" s="83" t="str">
        <x:f>IF($E139="","",IF(T139&gt;R139,"MOQ 조정",IF(K139="Y","필수품 확인","정상")))</x:f>
      </x:c>
    </x:row>
    <x:row r="140">
      <x:c r="A140" s="71"/>
      <x:c r="B140" s="71"/>
      <x:c r="C140" s="72"/>
      <x:c r="D140" s="72"/>
      <x:c r="E140" s="72"/>
      <x:c r="F140" s="72"/>
      <x:c r="G140" s="72"/>
      <x:c r="H140" s="81" t="str">
        <x:f>IF($E140="","",SUMIFS('Input_OL'!$K$4:$K$200,'Input_OL'!$C$4:$C$200,C140,'Input_OL'!$F$4:$F$200,B140))</x:f>
      </x:c>
      <x:c r="I140" s="81" t="str">
        <x:f>IF($E140="","",SUMIFS('Master_BOM'!$F$4:$F$200,'Master_BOM'!$A$4:$A$200,C140,'Master_BOM'!$C$4:$C$200,E140))</x:f>
      </x:c>
      <x:c r="J140" s="82" t="str">
        <x:f>IF($E140="","",SUMIFS('Master_BOM'!$G$4:$G$200,'Master_BOM'!$A$4:$A$200,C140,'Master_BOM'!$C$4:$C$200,E140))</x:f>
      </x:c>
      <x:c r="K140" s="83" t="str">
        <x:f>IF($E140="","",SUMIFS('Master_BOM'!$H$4:$H$200,'Master_BOM'!$A$4:$A$200,C140,'Master_BOM'!$C$4:$C$200,E140))</x:f>
      </x:c>
      <x:c r="L140" s="75" t="str">
        <x:f>IF($E140="","",IF(K140="Y",H140*I140,H140*I140*J140))</x:f>
      </x:c>
      <x:c r="M140" s="75" t="str">
        <x:f>IF($E140="","",IFERROR(SUMIFS('Master_BOM'!$J$4:$J$200,'Master_BOM'!$C$4:$C$200,E140),0))</x:f>
      </x:c>
      <x:c r="N140" s="75" t="str">
        <x:f>IF($E140="","",L140+M140)</x:f>
      </x:c>
      <x:c r="O140" s="75" t="str">
        <x:f>IF($E140="","",SUMIFS('Input_Inventory'!$G$4:$G$200,'Input_Inventory'!$C$4:$C$200,E140))</x:f>
      </x:c>
      <x:c r="P140" s="75" t="str">
        <x:f>IF($E140="","",SUMIFS('Input_Inventory'!$L$4:$L$200,'Input_Inventory'!$C$4:$C$200,E140,'Input_Inventory'!$F$4:$F$200,B140))</x:f>
      </x:c>
      <x:c r="Q140" s="75" t="str">
        <x:f>IF($E140="","",O140+P140)</x:f>
      </x:c>
      <x:c r="R140" s="75" t="str">
        <x:f>IF($E140="","",MAX(0,N140-Q140))</x:f>
      </x:c>
      <x:c r="S140" s="75" t="str">
        <x:f>IF($E140="","",SUMIFS('Master_Rules'!$G$4:$G$200,'Master_Rules'!$D$4:$D$200,E140))</x:f>
      </x:c>
      <x:c r="T140" s="75" t="str">
        <x:f>IF($E140="","",IF(S140=0,R140,MAX(S140,CEILING(R140,SUMIFS('Master_Rules'!$H$4:$H$200,'Master_Rules'!$D$4:$D$200,E140)))))</x:f>
      </x:c>
      <x:c r="U140" s="75" t="str">
        <x:f>IF($E140="","",T140*SUMIFS('Master_Rules'!$J$4:$J$200,'Master_Rules'!$D$4:$D$200,E140))</x:f>
      </x:c>
      <x:c r="V140" s="83" t="str">
        <x:f>IF($E140="","",IF(T140&gt;R140,"MOQ 조정",IF(K140="Y","필수품 확인","정상")))</x:f>
      </x:c>
    </x:row>
    <x:row r="141">
      <x:c r="A141" s="71"/>
      <x:c r="B141" s="71"/>
      <x:c r="C141" s="72"/>
      <x:c r="D141" s="72"/>
      <x:c r="E141" s="72"/>
      <x:c r="F141" s="72"/>
      <x:c r="G141" s="72"/>
      <x:c r="H141" s="81" t="str">
        <x:f>IF($E141="","",SUMIFS('Input_OL'!$K$4:$K$200,'Input_OL'!$C$4:$C$200,C141,'Input_OL'!$F$4:$F$200,B141))</x:f>
      </x:c>
      <x:c r="I141" s="81" t="str">
        <x:f>IF($E141="","",SUMIFS('Master_BOM'!$F$4:$F$200,'Master_BOM'!$A$4:$A$200,C141,'Master_BOM'!$C$4:$C$200,E141))</x:f>
      </x:c>
      <x:c r="J141" s="82" t="str">
        <x:f>IF($E141="","",SUMIFS('Master_BOM'!$G$4:$G$200,'Master_BOM'!$A$4:$A$200,C141,'Master_BOM'!$C$4:$C$200,E141))</x:f>
      </x:c>
      <x:c r="K141" s="83" t="str">
        <x:f>IF($E141="","",SUMIFS('Master_BOM'!$H$4:$H$200,'Master_BOM'!$A$4:$A$200,C141,'Master_BOM'!$C$4:$C$200,E141))</x:f>
      </x:c>
      <x:c r="L141" s="75" t="str">
        <x:f>IF($E141="","",IF(K141="Y",H141*I141,H141*I141*J141))</x:f>
      </x:c>
      <x:c r="M141" s="75" t="str">
        <x:f>IF($E141="","",IFERROR(SUMIFS('Master_BOM'!$J$4:$J$200,'Master_BOM'!$C$4:$C$200,E141),0))</x:f>
      </x:c>
      <x:c r="N141" s="75" t="str">
        <x:f>IF($E141="","",L141+M141)</x:f>
      </x:c>
      <x:c r="O141" s="75" t="str">
        <x:f>IF($E141="","",SUMIFS('Input_Inventory'!$G$4:$G$200,'Input_Inventory'!$C$4:$C$200,E141))</x:f>
      </x:c>
      <x:c r="P141" s="75" t="str">
        <x:f>IF($E141="","",SUMIFS('Input_Inventory'!$L$4:$L$200,'Input_Inventory'!$C$4:$C$200,E141,'Input_Inventory'!$F$4:$F$200,B141))</x:f>
      </x:c>
      <x:c r="Q141" s="75" t="str">
        <x:f>IF($E141="","",O141+P141)</x:f>
      </x:c>
      <x:c r="R141" s="75" t="str">
        <x:f>IF($E141="","",MAX(0,N141-Q141))</x:f>
      </x:c>
      <x:c r="S141" s="75" t="str">
        <x:f>IF($E141="","",SUMIFS('Master_Rules'!$G$4:$G$200,'Master_Rules'!$D$4:$D$200,E141))</x:f>
      </x:c>
      <x:c r="T141" s="75" t="str">
        <x:f>IF($E141="","",IF(S141=0,R141,MAX(S141,CEILING(R141,SUMIFS('Master_Rules'!$H$4:$H$200,'Master_Rules'!$D$4:$D$200,E141)))))</x:f>
      </x:c>
      <x:c r="U141" s="75" t="str">
        <x:f>IF($E141="","",T141*SUMIFS('Master_Rules'!$J$4:$J$200,'Master_Rules'!$D$4:$D$200,E141))</x:f>
      </x:c>
      <x:c r="V141" s="83" t="str">
        <x:f>IF($E141="","",IF(T141&gt;R141,"MOQ 조정",IF(K141="Y","필수품 확인","정상")))</x:f>
      </x:c>
    </x:row>
    <x:row r="142">
      <x:c r="A142" s="71"/>
      <x:c r="B142" s="71"/>
      <x:c r="C142" s="72"/>
      <x:c r="D142" s="72"/>
      <x:c r="E142" s="72"/>
      <x:c r="F142" s="72"/>
      <x:c r="G142" s="72"/>
      <x:c r="H142" s="81" t="str">
        <x:f>IF($E142="","",SUMIFS('Input_OL'!$K$4:$K$200,'Input_OL'!$C$4:$C$200,C142,'Input_OL'!$F$4:$F$200,B142))</x:f>
      </x:c>
      <x:c r="I142" s="81" t="str">
        <x:f>IF($E142="","",SUMIFS('Master_BOM'!$F$4:$F$200,'Master_BOM'!$A$4:$A$200,C142,'Master_BOM'!$C$4:$C$200,E142))</x:f>
      </x:c>
      <x:c r="J142" s="82" t="str">
        <x:f>IF($E142="","",SUMIFS('Master_BOM'!$G$4:$G$200,'Master_BOM'!$A$4:$A$200,C142,'Master_BOM'!$C$4:$C$200,E142))</x:f>
      </x:c>
      <x:c r="K142" s="83" t="str">
        <x:f>IF($E142="","",SUMIFS('Master_BOM'!$H$4:$H$200,'Master_BOM'!$A$4:$A$200,C142,'Master_BOM'!$C$4:$C$200,E142))</x:f>
      </x:c>
      <x:c r="L142" s="75" t="str">
        <x:f>IF($E142="","",IF(K142="Y",H142*I142,H142*I142*J142))</x:f>
      </x:c>
      <x:c r="M142" s="75" t="str">
        <x:f>IF($E142="","",IFERROR(SUMIFS('Master_BOM'!$J$4:$J$200,'Master_BOM'!$C$4:$C$200,E142),0))</x:f>
      </x:c>
      <x:c r="N142" s="75" t="str">
        <x:f>IF($E142="","",L142+M142)</x:f>
      </x:c>
      <x:c r="O142" s="75" t="str">
        <x:f>IF($E142="","",SUMIFS('Input_Inventory'!$G$4:$G$200,'Input_Inventory'!$C$4:$C$200,E142))</x:f>
      </x:c>
      <x:c r="P142" s="75" t="str">
        <x:f>IF($E142="","",SUMIFS('Input_Inventory'!$L$4:$L$200,'Input_Inventory'!$C$4:$C$200,E142,'Input_Inventory'!$F$4:$F$200,B142))</x:f>
      </x:c>
      <x:c r="Q142" s="75" t="str">
        <x:f>IF($E142="","",O142+P142)</x:f>
      </x:c>
      <x:c r="R142" s="75" t="str">
        <x:f>IF($E142="","",MAX(0,N142-Q142))</x:f>
      </x:c>
      <x:c r="S142" s="75" t="str">
        <x:f>IF($E142="","",SUMIFS('Master_Rules'!$G$4:$G$200,'Master_Rules'!$D$4:$D$200,E142))</x:f>
      </x:c>
      <x:c r="T142" s="75" t="str">
        <x:f>IF($E142="","",IF(S142=0,R142,MAX(S142,CEILING(R142,SUMIFS('Master_Rules'!$H$4:$H$200,'Master_Rules'!$D$4:$D$200,E142)))))</x:f>
      </x:c>
      <x:c r="U142" s="75" t="str">
        <x:f>IF($E142="","",T142*SUMIFS('Master_Rules'!$J$4:$J$200,'Master_Rules'!$D$4:$D$200,E142))</x:f>
      </x:c>
      <x:c r="V142" s="83" t="str">
        <x:f>IF($E142="","",IF(T142&gt;R142,"MOQ 조정",IF(K142="Y","필수품 확인","정상")))</x:f>
      </x:c>
    </x:row>
    <x:row r="143">
      <x:c r="A143" s="71"/>
      <x:c r="B143" s="71"/>
      <x:c r="C143" s="72"/>
      <x:c r="D143" s="72"/>
      <x:c r="E143" s="72"/>
      <x:c r="F143" s="72"/>
      <x:c r="G143" s="72"/>
      <x:c r="H143" s="81" t="str">
        <x:f>IF($E143="","",SUMIFS('Input_OL'!$K$4:$K$200,'Input_OL'!$C$4:$C$200,C143,'Input_OL'!$F$4:$F$200,B143))</x:f>
      </x:c>
      <x:c r="I143" s="81" t="str">
        <x:f>IF($E143="","",SUMIFS('Master_BOM'!$F$4:$F$200,'Master_BOM'!$A$4:$A$200,C143,'Master_BOM'!$C$4:$C$200,E143))</x:f>
      </x:c>
      <x:c r="J143" s="82" t="str">
        <x:f>IF($E143="","",SUMIFS('Master_BOM'!$G$4:$G$200,'Master_BOM'!$A$4:$A$200,C143,'Master_BOM'!$C$4:$C$200,E143))</x:f>
      </x:c>
      <x:c r="K143" s="83" t="str">
        <x:f>IF($E143="","",SUMIFS('Master_BOM'!$H$4:$H$200,'Master_BOM'!$A$4:$A$200,C143,'Master_BOM'!$C$4:$C$200,E143))</x:f>
      </x:c>
      <x:c r="L143" s="75" t="str">
        <x:f>IF($E143="","",IF(K143="Y",H143*I143,H143*I143*J143))</x:f>
      </x:c>
      <x:c r="M143" s="75" t="str">
        <x:f>IF($E143="","",IFERROR(SUMIFS('Master_BOM'!$J$4:$J$200,'Master_BOM'!$C$4:$C$200,E143),0))</x:f>
      </x:c>
      <x:c r="N143" s="75" t="str">
        <x:f>IF($E143="","",L143+M143)</x:f>
      </x:c>
      <x:c r="O143" s="75" t="str">
        <x:f>IF($E143="","",SUMIFS('Input_Inventory'!$G$4:$G$200,'Input_Inventory'!$C$4:$C$200,E143))</x:f>
      </x:c>
      <x:c r="P143" s="75" t="str">
        <x:f>IF($E143="","",SUMIFS('Input_Inventory'!$L$4:$L$200,'Input_Inventory'!$C$4:$C$200,E143,'Input_Inventory'!$F$4:$F$200,B143))</x:f>
      </x:c>
      <x:c r="Q143" s="75" t="str">
        <x:f>IF($E143="","",O143+P143)</x:f>
      </x:c>
      <x:c r="R143" s="75" t="str">
        <x:f>IF($E143="","",MAX(0,N143-Q143))</x:f>
      </x:c>
      <x:c r="S143" s="75" t="str">
        <x:f>IF($E143="","",SUMIFS('Master_Rules'!$G$4:$G$200,'Master_Rules'!$D$4:$D$200,E143))</x:f>
      </x:c>
      <x:c r="T143" s="75" t="str">
        <x:f>IF($E143="","",IF(S143=0,R143,MAX(S143,CEILING(R143,SUMIFS('Master_Rules'!$H$4:$H$200,'Master_Rules'!$D$4:$D$200,E143)))))</x:f>
      </x:c>
      <x:c r="U143" s="75" t="str">
        <x:f>IF($E143="","",T143*SUMIFS('Master_Rules'!$J$4:$J$200,'Master_Rules'!$D$4:$D$200,E143))</x:f>
      </x:c>
      <x:c r="V143" s="83" t="str">
        <x:f>IF($E143="","",IF(T143&gt;R143,"MOQ 조정",IF(K143="Y","필수품 확인","정상")))</x:f>
      </x:c>
    </x:row>
    <x:row r="144">
      <x:c r="A144" s="71"/>
      <x:c r="B144" s="71"/>
      <x:c r="C144" s="72"/>
      <x:c r="D144" s="72"/>
      <x:c r="E144" s="72"/>
      <x:c r="F144" s="72"/>
      <x:c r="G144" s="72"/>
      <x:c r="H144" s="81" t="str">
        <x:f>IF($E144="","",SUMIFS('Input_OL'!$K$4:$K$200,'Input_OL'!$C$4:$C$200,C144,'Input_OL'!$F$4:$F$200,B144))</x:f>
      </x:c>
      <x:c r="I144" s="81" t="str">
        <x:f>IF($E144="","",SUMIFS('Master_BOM'!$F$4:$F$200,'Master_BOM'!$A$4:$A$200,C144,'Master_BOM'!$C$4:$C$200,E144))</x:f>
      </x:c>
      <x:c r="J144" s="82" t="str">
        <x:f>IF($E144="","",SUMIFS('Master_BOM'!$G$4:$G$200,'Master_BOM'!$A$4:$A$200,C144,'Master_BOM'!$C$4:$C$200,E144))</x:f>
      </x:c>
      <x:c r="K144" s="83" t="str">
        <x:f>IF($E144="","",SUMIFS('Master_BOM'!$H$4:$H$200,'Master_BOM'!$A$4:$A$200,C144,'Master_BOM'!$C$4:$C$200,E144))</x:f>
      </x:c>
      <x:c r="L144" s="75" t="str">
        <x:f>IF($E144="","",IF(K144="Y",H144*I144,H144*I144*J144))</x:f>
      </x:c>
      <x:c r="M144" s="75" t="str">
        <x:f>IF($E144="","",IFERROR(SUMIFS('Master_BOM'!$J$4:$J$200,'Master_BOM'!$C$4:$C$200,E144),0))</x:f>
      </x:c>
      <x:c r="N144" s="75" t="str">
        <x:f>IF($E144="","",L144+M144)</x:f>
      </x:c>
      <x:c r="O144" s="75" t="str">
        <x:f>IF($E144="","",SUMIFS('Input_Inventory'!$G$4:$G$200,'Input_Inventory'!$C$4:$C$200,E144))</x:f>
      </x:c>
      <x:c r="P144" s="75" t="str">
        <x:f>IF($E144="","",SUMIFS('Input_Inventory'!$L$4:$L$200,'Input_Inventory'!$C$4:$C$200,E144,'Input_Inventory'!$F$4:$F$200,B144))</x:f>
      </x:c>
      <x:c r="Q144" s="75" t="str">
        <x:f>IF($E144="","",O144+P144)</x:f>
      </x:c>
      <x:c r="R144" s="75" t="str">
        <x:f>IF($E144="","",MAX(0,N144-Q144))</x:f>
      </x:c>
      <x:c r="S144" s="75" t="str">
        <x:f>IF($E144="","",SUMIFS('Master_Rules'!$G$4:$G$200,'Master_Rules'!$D$4:$D$200,E144))</x:f>
      </x:c>
      <x:c r="T144" s="75" t="str">
        <x:f>IF($E144="","",IF(S144=0,R144,MAX(S144,CEILING(R144,SUMIFS('Master_Rules'!$H$4:$H$200,'Master_Rules'!$D$4:$D$200,E144)))))</x:f>
      </x:c>
      <x:c r="U144" s="75" t="str">
        <x:f>IF($E144="","",T144*SUMIFS('Master_Rules'!$J$4:$J$200,'Master_Rules'!$D$4:$D$200,E144))</x:f>
      </x:c>
      <x:c r="V144" s="83" t="str">
        <x:f>IF($E144="","",IF(T144&gt;R144,"MOQ 조정",IF(K144="Y","필수품 확인","정상")))</x:f>
      </x:c>
    </x:row>
    <x:row r="145">
      <x:c r="A145" s="71"/>
      <x:c r="B145" s="71"/>
      <x:c r="C145" s="72"/>
      <x:c r="D145" s="72"/>
      <x:c r="E145" s="72"/>
      <x:c r="F145" s="72"/>
      <x:c r="G145" s="72"/>
      <x:c r="H145" s="81" t="str">
        <x:f>IF($E145="","",SUMIFS('Input_OL'!$K$4:$K$200,'Input_OL'!$C$4:$C$200,C145,'Input_OL'!$F$4:$F$200,B145))</x:f>
      </x:c>
      <x:c r="I145" s="81" t="str">
        <x:f>IF($E145="","",SUMIFS('Master_BOM'!$F$4:$F$200,'Master_BOM'!$A$4:$A$200,C145,'Master_BOM'!$C$4:$C$200,E145))</x:f>
      </x:c>
      <x:c r="J145" s="82" t="str">
        <x:f>IF($E145="","",SUMIFS('Master_BOM'!$G$4:$G$200,'Master_BOM'!$A$4:$A$200,C145,'Master_BOM'!$C$4:$C$200,E145))</x:f>
      </x:c>
      <x:c r="K145" s="83" t="str">
        <x:f>IF($E145="","",SUMIFS('Master_BOM'!$H$4:$H$200,'Master_BOM'!$A$4:$A$200,C145,'Master_BOM'!$C$4:$C$200,E145))</x:f>
      </x:c>
      <x:c r="L145" s="75" t="str">
        <x:f>IF($E145="","",IF(K145="Y",H145*I145,H145*I145*J145))</x:f>
      </x:c>
      <x:c r="M145" s="75" t="str">
        <x:f>IF($E145="","",IFERROR(SUMIFS('Master_BOM'!$J$4:$J$200,'Master_BOM'!$C$4:$C$200,E145),0))</x:f>
      </x:c>
      <x:c r="N145" s="75" t="str">
        <x:f>IF($E145="","",L145+M145)</x:f>
      </x:c>
      <x:c r="O145" s="75" t="str">
        <x:f>IF($E145="","",SUMIFS('Input_Inventory'!$G$4:$G$200,'Input_Inventory'!$C$4:$C$200,E145))</x:f>
      </x:c>
      <x:c r="P145" s="75" t="str">
        <x:f>IF($E145="","",SUMIFS('Input_Inventory'!$L$4:$L$200,'Input_Inventory'!$C$4:$C$200,E145,'Input_Inventory'!$F$4:$F$200,B145))</x:f>
      </x:c>
      <x:c r="Q145" s="75" t="str">
        <x:f>IF($E145="","",O145+P145)</x:f>
      </x:c>
      <x:c r="R145" s="75" t="str">
        <x:f>IF($E145="","",MAX(0,N145-Q145))</x:f>
      </x:c>
      <x:c r="S145" s="75" t="str">
        <x:f>IF($E145="","",SUMIFS('Master_Rules'!$G$4:$G$200,'Master_Rules'!$D$4:$D$200,E145))</x:f>
      </x:c>
      <x:c r="T145" s="75" t="str">
        <x:f>IF($E145="","",IF(S145=0,R145,MAX(S145,CEILING(R145,SUMIFS('Master_Rules'!$H$4:$H$200,'Master_Rules'!$D$4:$D$200,E145)))))</x:f>
      </x:c>
      <x:c r="U145" s="75" t="str">
        <x:f>IF($E145="","",T145*SUMIFS('Master_Rules'!$J$4:$J$200,'Master_Rules'!$D$4:$D$200,E145))</x:f>
      </x:c>
      <x:c r="V145" s="83" t="str">
        <x:f>IF($E145="","",IF(T145&gt;R145,"MOQ 조정",IF(K145="Y","필수품 확인","정상")))</x:f>
      </x:c>
    </x:row>
    <x:row r="146">
      <x:c r="A146" s="71"/>
      <x:c r="B146" s="71"/>
      <x:c r="C146" s="72"/>
      <x:c r="D146" s="72"/>
      <x:c r="E146" s="72"/>
      <x:c r="F146" s="72"/>
      <x:c r="G146" s="72"/>
      <x:c r="H146" s="81" t="str">
        <x:f>IF($E146="","",SUMIFS('Input_OL'!$K$4:$K$200,'Input_OL'!$C$4:$C$200,C146,'Input_OL'!$F$4:$F$200,B146))</x:f>
      </x:c>
      <x:c r="I146" s="81" t="str">
        <x:f>IF($E146="","",SUMIFS('Master_BOM'!$F$4:$F$200,'Master_BOM'!$A$4:$A$200,C146,'Master_BOM'!$C$4:$C$200,E146))</x:f>
      </x:c>
      <x:c r="J146" s="82" t="str">
        <x:f>IF($E146="","",SUMIFS('Master_BOM'!$G$4:$G$200,'Master_BOM'!$A$4:$A$200,C146,'Master_BOM'!$C$4:$C$200,E146))</x:f>
      </x:c>
      <x:c r="K146" s="83" t="str">
        <x:f>IF($E146="","",SUMIFS('Master_BOM'!$H$4:$H$200,'Master_BOM'!$A$4:$A$200,C146,'Master_BOM'!$C$4:$C$200,E146))</x:f>
      </x:c>
      <x:c r="L146" s="75" t="str">
        <x:f>IF($E146="","",IF(K146="Y",H146*I146,H146*I146*J146))</x:f>
      </x:c>
      <x:c r="M146" s="75" t="str">
        <x:f>IF($E146="","",IFERROR(SUMIFS('Master_BOM'!$J$4:$J$200,'Master_BOM'!$C$4:$C$200,E146),0))</x:f>
      </x:c>
      <x:c r="N146" s="75" t="str">
        <x:f>IF($E146="","",L146+M146)</x:f>
      </x:c>
      <x:c r="O146" s="75" t="str">
        <x:f>IF($E146="","",SUMIFS('Input_Inventory'!$G$4:$G$200,'Input_Inventory'!$C$4:$C$200,E146))</x:f>
      </x:c>
      <x:c r="P146" s="75" t="str">
        <x:f>IF($E146="","",SUMIFS('Input_Inventory'!$L$4:$L$200,'Input_Inventory'!$C$4:$C$200,E146,'Input_Inventory'!$F$4:$F$200,B146))</x:f>
      </x:c>
      <x:c r="Q146" s="75" t="str">
        <x:f>IF($E146="","",O146+P146)</x:f>
      </x:c>
      <x:c r="R146" s="75" t="str">
        <x:f>IF($E146="","",MAX(0,N146-Q146))</x:f>
      </x:c>
      <x:c r="S146" s="75" t="str">
        <x:f>IF($E146="","",SUMIFS('Master_Rules'!$G$4:$G$200,'Master_Rules'!$D$4:$D$200,E146))</x:f>
      </x:c>
      <x:c r="T146" s="75" t="str">
        <x:f>IF($E146="","",IF(S146=0,R146,MAX(S146,CEILING(R146,SUMIFS('Master_Rules'!$H$4:$H$200,'Master_Rules'!$D$4:$D$200,E146)))))</x:f>
      </x:c>
      <x:c r="U146" s="75" t="str">
        <x:f>IF($E146="","",T146*SUMIFS('Master_Rules'!$J$4:$J$200,'Master_Rules'!$D$4:$D$200,E146))</x:f>
      </x:c>
      <x:c r="V146" s="83" t="str">
        <x:f>IF($E146="","",IF(T146&gt;R146,"MOQ 조정",IF(K146="Y","필수품 확인","정상")))</x:f>
      </x:c>
    </x:row>
    <x:row r="147">
      <x:c r="A147" s="71"/>
      <x:c r="B147" s="71"/>
      <x:c r="C147" s="72"/>
      <x:c r="D147" s="72"/>
      <x:c r="E147" s="72"/>
      <x:c r="F147" s="72"/>
      <x:c r="G147" s="72"/>
      <x:c r="H147" s="81" t="str">
        <x:f>IF($E147="","",SUMIFS('Input_OL'!$K$4:$K$200,'Input_OL'!$C$4:$C$200,C147,'Input_OL'!$F$4:$F$200,B147))</x:f>
      </x:c>
      <x:c r="I147" s="81" t="str">
        <x:f>IF($E147="","",SUMIFS('Master_BOM'!$F$4:$F$200,'Master_BOM'!$A$4:$A$200,C147,'Master_BOM'!$C$4:$C$200,E147))</x:f>
      </x:c>
      <x:c r="J147" s="82" t="str">
        <x:f>IF($E147="","",SUMIFS('Master_BOM'!$G$4:$G$200,'Master_BOM'!$A$4:$A$200,C147,'Master_BOM'!$C$4:$C$200,E147))</x:f>
      </x:c>
      <x:c r="K147" s="83" t="str">
        <x:f>IF($E147="","",SUMIFS('Master_BOM'!$H$4:$H$200,'Master_BOM'!$A$4:$A$200,C147,'Master_BOM'!$C$4:$C$200,E147))</x:f>
      </x:c>
      <x:c r="L147" s="75" t="str">
        <x:f>IF($E147="","",IF(K147="Y",H147*I147,H147*I147*J147))</x:f>
      </x:c>
      <x:c r="M147" s="75" t="str">
        <x:f>IF($E147="","",IFERROR(SUMIFS('Master_BOM'!$J$4:$J$200,'Master_BOM'!$C$4:$C$200,E147),0))</x:f>
      </x:c>
      <x:c r="N147" s="75" t="str">
        <x:f>IF($E147="","",L147+M147)</x:f>
      </x:c>
      <x:c r="O147" s="75" t="str">
        <x:f>IF($E147="","",SUMIFS('Input_Inventory'!$G$4:$G$200,'Input_Inventory'!$C$4:$C$200,E147))</x:f>
      </x:c>
      <x:c r="P147" s="75" t="str">
        <x:f>IF($E147="","",SUMIFS('Input_Inventory'!$L$4:$L$200,'Input_Inventory'!$C$4:$C$200,E147,'Input_Inventory'!$F$4:$F$200,B147))</x:f>
      </x:c>
      <x:c r="Q147" s="75" t="str">
        <x:f>IF($E147="","",O147+P147)</x:f>
      </x:c>
      <x:c r="R147" s="75" t="str">
        <x:f>IF($E147="","",MAX(0,N147-Q147))</x:f>
      </x:c>
      <x:c r="S147" s="75" t="str">
        <x:f>IF($E147="","",SUMIFS('Master_Rules'!$G$4:$G$200,'Master_Rules'!$D$4:$D$200,E147))</x:f>
      </x:c>
      <x:c r="T147" s="75" t="str">
        <x:f>IF($E147="","",IF(S147=0,R147,MAX(S147,CEILING(R147,SUMIFS('Master_Rules'!$H$4:$H$200,'Master_Rules'!$D$4:$D$200,E147)))))</x:f>
      </x:c>
      <x:c r="U147" s="75" t="str">
        <x:f>IF($E147="","",T147*SUMIFS('Master_Rules'!$J$4:$J$200,'Master_Rules'!$D$4:$D$200,E147))</x:f>
      </x:c>
      <x:c r="V147" s="83" t="str">
        <x:f>IF($E147="","",IF(T147&gt;R147,"MOQ 조정",IF(K147="Y","필수품 확인","정상")))</x:f>
      </x:c>
    </x:row>
    <x:row r="148">
      <x:c r="A148" s="71"/>
      <x:c r="B148" s="71"/>
      <x:c r="C148" s="72"/>
      <x:c r="D148" s="72"/>
      <x:c r="E148" s="72"/>
      <x:c r="F148" s="72"/>
      <x:c r="G148" s="72"/>
      <x:c r="H148" s="81" t="str">
        <x:f>IF($E148="","",SUMIFS('Input_OL'!$K$4:$K$200,'Input_OL'!$C$4:$C$200,C148,'Input_OL'!$F$4:$F$200,B148))</x:f>
      </x:c>
      <x:c r="I148" s="81" t="str">
        <x:f>IF($E148="","",SUMIFS('Master_BOM'!$F$4:$F$200,'Master_BOM'!$A$4:$A$200,C148,'Master_BOM'!$C$4:$C$200,E148))</x:f>
      </x:c>
      <x:c r="J148" s="82" t="str">
        <x:f>IF($E148="","",SUMIFS('Master_BOM'!$G$4:$G$200,'Master_BOM'!$A$4:$A$200,C148,'Master_BOM'!$C$4:$C$200,E148))</x:f>
      </x:c>
      <x:c r="K148" s="83" t="str">
        <x:f>IF($E148="","",SUMIFS('Master_BOM'!$H$4:$H$200,'Master_BOM'!$A$4:$A$200,C148,'Master_BOM'!$C$4:$C$200,E148))</x:f>
      </x:c>
      <x:c r="L148" s="75" t="str">
        <x:f>IF($E148="","",IF(K148="Y",H148*I148,H148*I148*J148))</x:f>
      </x:c>
      <x:c r="M148" s="75" t="str">
        <x:f>IF($E148="","",IFERROR(SUMIFS('Master_BOM'!$J$4:$J$200,'Master_BOM'!$C$4:$C$200,E148),0))</x:f>
      </x:c>
      <x:c r="N148" s="75" t="str">
        <x:f>IF($E148="","",L148+M148)</x:f>
      </x:c>
      <x:c r="O148" s="75" t="str">
        <x:f>IF($E148="","",SUMIFS('Input_Inventory'!$G$4:$G$200,'Input_Inventory'!$C$4:$C$200,E148))</x:f>
      </x:c>
      <x:c r="P148" s="75" t="str">
        <x:f>IF($E148="","",SUMIFS('Input_Inventory'!$L$4:$L$200,'Input_Inventory'!$C$4:$C$200,E148,'Input_Inventory'!$F$4:$F$200,B148))</x:f>
      </x:c>
      <x:c r="Q148" s="75" t="str">
        <x:f>IF($E148="","",O148+P148)</x:f>
      </x:c>
      <x:c r="R148" s="75" t="str">
        <x:f>IF($E148="","",MAX(0,N148-Q148))</x:f>
      </x:c>
      <x:c r="S148" s="75" t="str">
        <x:f>IF($E148="","",SUMIFS('Master_Rules'!$G$4:$G$200,'Master_Rules'!$D$4:$D$200,E148))</x:f>
      </x:c>
      <x:c r="T148" s="75" t="str">
        <x:f>IF($E148="","",IF(S148=0,R148,MAX(S148,CEILING(R148,SUMIFS('Master_Rules'!$H$4:$H$200,'Master_Rules'!$D$4:$D$200,E148)))))</x:f>
      </x:c>
      <x:c r="U148" s="75" t="str">
        <x:f>IF($E148="","",T148*SUMIFS('Master_Rules'!$J$4:$J$200,'Master_Rules'!$D$4:$D$200,E148))</x:f>
      </x:c>
      <x:c r="V148" s="83" t="str">
        <x:f>IF($E148="","",IF(T148&gt;R148,"MOQ 조정",IF(K148="Y","필수품 확인","정상")))</x:f>
      </x:c>
    </x:row>
    <x:row r="149">
      <x:c r="A149" s="71"/>
      <x:c r="B149" s="71"/>
      <x:c r="C149" s="72"/>
      <x:c r="D149" s="72"/>
      <x:c r="E149" s="72"/>
      <x:c r="F149" s="72"/>
      <x:c r="G149" s="72"/>
      <x:c r="H149" s="81" t="str">
        <x:f>IF($E149="","",SUMIFS('Input_OL'!$K$4:$K$200,'Input_OL'!$C$4:$C$200,C149,'Input_OL'!$F$4:$F$200,B149))</x:f>
      </x:c>
      <x:c r="I149" s="81" t="str">
        <x:f>IF($E149="","",SUMIFS('Master_BOM'!$F$4:$F$200,'Master_BOM'!$A$4:$A$200,C149,'Master_BOM'!$C$4:$C$200,E149))</x:f>
      </x:c>
      <x:c r="J149" s="82" t="str">
        <x:f>IF($E149="","",SUMIFS('Master_BOM'!$G$4:$G$200,'Master_BOM'!$A$4:$A$200,C149,'Master_BOM'!$C$4:$C$200,E149))</x:f>
      </x:c>
      <x:c r="K149" s="83" t="str">
        <x:f>IF($E149="","",SUMIFS('Master_BOM'!$H$4:$H$200,'Master_BOM'!$A$4:$A$200,C149,'Master_BOM'!$C$4:$C$200,E149))</x:f>
      </x:c>
      <x:c r="L149" s="75" t="str">
        <x:f>IF($E149="","",IF(K149="Y",H149*I149,H149*I149*J149))</x:f>
      </x:c>
      <x:c r="M149" s="75" t="str">
        <x:f>IF($E149="","",IFERROR(SUMIFS('Master_BOM'!$J$4:$J$200,'Master_BOM'!$C$4:$C$200,E149),0))</x:f>
      </x:c>
      <x:c r="N149" s="75" t="str">
        <x:f>IF($E149="","",L149+M149)</x:f>
      </x:c>
      <x:c r="O149" s="75" t="str">
        <x:f>IF($E149="","",SUMIFS('Input_Inventory'!$G$4:$G$200,'Input_Inventory'!$C$4:$C$200,E149))</x:f>
      </x:c>
      <x:c r="P149" s="75" t="str">
        <x:f>IF($E149="","",SUMIFS('Input_Inventory'!$L$4:$L$200,'Input_Inventory'!$C$4:$C$200,E149,'Input_Inventory'!$F$4:$F$200,B149))</x:f>
      </x:c>
      <x:c r="Q149" s="75" t="str">
        <x:f>IF($E149="","",O149+P149)</x:f>
      </x:c>
      <x:c r="R149" s="75" t="str">
        <x:f>IF($E149="","",MAX(0,N149-Q149))</x:f>
      </x:c>
      <x:c r="S149" s="75" t="str">
        <x:f>IF($E149="","",SUMIFS('Master_Rules'!$G$4:$G$200,'Master_Rules'!$D$4:$D$200,E149))</x:f>
      </x:c>
      <x:c r="T149" s="75" t="str">
        <x:f>IF($E149="","",IF(S149=0,R149,MAX(S149,CEILING(R149,SUMIFS('Master_Rules'!$H$4:$H$200,'Master_Rules'!$D$4:$D$200,E149)))))</x:f>
      </x:c>
      <x:c r="U149" s="75" t="str">
        <x:f>IF($E149="","",T149*SUMIFS('Master_Rules'!$J$4:$J$200,'Master_Rules'!$D$4:$D$200,E149))</x:f>
      </x:c>
      <x:c r="V149" s="83" t="str">
        <x:f>IF($E149="","",IF(T149&gt;R149,"MOQ 조정",IF(K149="Y","필수품 확인","정상")))</x:f>
      </x:c>
    </x:row>
    <x:row r="150">
      <x:c r="A150" s="71"/>
      <x:c r="B150" s="71"/>
      <x:c r="C150" s="72"/>
      <x:c r="D150" s="72"/>
      <x:c r="E150" s="72"/>
      <x:c r="F150" s="72"/>
      <x:c r="G150" s="72"/>
      <x:c r="H150" s="81" t="str">
        <x:f>IF($E150="","",SUMIFS('Input_OL'!$K$4:$K$200,'Input_OL'!$C$4:$C$200,C150,'Input_OL'!$F$4:$F$200,B150))</x:f>
      </x:c>
      <x:c r="I150" s="81" t="str">
        <x:f>IF($E150="","",SUMIFS('Master_BOM'!$F$4:$F$200,'Master_BOM'!$A$4:$A$200,C150,'Master_BOM'!$C$4:$C$200,E150))</x:f>
      </x:c>
      <x:c r="J150" s="82" t="str">
        <x:f>IF($E150="","",SUMIFS('Master_BOM'!$G$4:$G$200,'Master_BOM'!$A$4:$A$200,C150,'Master_BOM'!$C$4:$C$200,E150))</x:f>
      </x:c>
      <x:c r="K150" s="83" t="str">
        <x:f>IF($E150="","",SUMIFS('Master_BOM'!$H$4:$H$200,'Master_BOM'!$A$4:$A$200,C150,'Master_BOM'!$C$4:$C$200,E150))</x:f>
      </x:c>
      <x:c r="L150" s="75" t="str">
        <x:f>IF($E150="","",IF(K150="Y",H150*I150,H150*I150*J150))</x:f>
      </x:c>
      <x:c r="M150" s="75" t="str">
        <x:f>IF($E150="","",IFERROR(SUMIFS('Master_BOM'!$J$4:$J$200,'Master_BOM'!$C$4:$C$200,E150),0))</x:f>
      </x:c>
      <x:c r="N150" s="75" t="str">
        <x:f>IF($E150="","",L150+M150)</x:f>
      </x:c>
      <x:c r="O150" s="75" t="str">
        <x:f>IF($E150="","",SUMIFS('Input_Inventory'!$G$4:$G$200,'Input_Inventory'!$C$4:$C$200,E150))</x:f>
      </x:c>
      <x:c r="P150" s="75" t="str">
        <x:f>IF($E150="","",SUMIFS('Input_Inventory'!$L$4:$L$200,'Input_Inventory'!$C$4:$C$200,E150,'Input_Inventory'!$F$4:$F$200,B150))</x:f>
      </x:c>
      <x:c r="Q150" s="75" t="str">
        <x:f>IF($E150="","",O150+P150)</x:f>
      </x:c>
      <x:c r="R150" s="75" t="str">
        <x:f>IF($E150="","",MAX(0,N150-Q150))</x:f>
      </x:c>
      <x:c r="S150" s="75" t="str">
        <x:f>IF($E150="","",SUMIFS('Master_Rules'!$G$4:$G$200,'Master_Rules'!$D$4:$D$200,E150))</x:f>
      </x:c>
      <x:c r="T150" s="75" t="str">
        <x:f>IF($E150="","",IF(S150=0,R150,MAX(S150,CEILING(R150,SUMIFS('Master_Rules'!$H$4:$H$200,'Master_Rules'!$D$4:$D$200,E150)))))</x:f>
      </x:c>
      <x:c r="U150" s="75" t="str">
        <x:f>IF($E150="","",T150*SUMIFS('Master_Rules'!$J$4:$J$200,'Master_Rules'!$D$4:$D$200,E150))</x:f>
      </x:c>
      <x:c r="V150" s="83" t="str">
        <x:f>IF($E150="","",IF(T150&gt;R150,"MOQ 조정",IF(K150="Y","필수품 확인","정상")))</x:f>
      </x:c>
    </x:row>
    <x:row r="151">
      <x:c r="A151" s="71"/>
      <x:c r="B151" s="71"/>
      <x:c r="C151" s="72"/>
      <x:c r="D151" s="72"/>
      <x:c r="E151" s="72"/>
      <x:c r="F151" s="72"/>
      <x:c r="G151" s="72"/>
      <x:c r="H151" s="81" t="str">
        <x:f>IF($E151="","",SUMIFS('Input_OL'!$K$4:$K$200,'Input_OL'!$C$4:$C$200,C151,'Input_OL'!$F$4:$F$200,B151))</x:f>
      </x:c>
      <x:c r="I151" s="81" t="str">
        <x:f>IF($E151="","",SUMIFS('Master_BOM'!$F$4:$F$200,'Master_BOM'!$A$4:$A$200,C151,'Master_BOM'!$C$4:$C$200,E151))</x:f>
      </x:c>
      <x:c r="J151" s="82" t="str">
        <x:f>IF($E151="","",SUMIFS('Master_BOM'!$G$4:$G$200,'Master_BOM'!$A$4:$A$200,C151,'Master_BOM'!$C$4:$C$200,E151))</x:f>
      </x:c>
      <x:c r="K151" s="83" t="str">
        <x:f>IF($E151="","",SUMIFS('Master_BOM'!$H$4:$H$200,'Master_BOM'!$A$4:$A$200,C151,'Master_BOM'!$C$4:$C$200,E151))</x:f>
      </x:c>
      <x:c r="L151" s="75" t="str">
        <x:f>IF($E151="","",IF(K151="Y",H151*I151,H151*I151*J151))</x:f>
      </x:c>
      <x:c r="M151" s="75" t="str">
        <x:f>IF($E151="","",IFERROR(SUMIFS('Master_BOM'!$J$4:$J$200,'Master_BOM'!$C$4:$C$200,E151),0))</x:f>
      </x:c>
      <x:c r="N151" s="75" t="str">
        <x:f>IF($E151="","",L151+M151)</x:f>
      </x:c>
      <x:c r="O151" s="75" t="str">
        <x:f>IF($E151="","",SUMIFS('Input_Inventory'!$G$4:$G$200,'Input_Inventory'!$C$4:$C$200,E151))</x:f>
      </x:c>
      <x:c r="P151" s="75" t="str">
        <x:f>IF($E151="","",SUMIFS('Input_Inventory'!$L$4:$L$200,'Input_Inventory'!$C$4:$C$200,E151,'Input_Inventory'!$F$4:$F$200,B151))</x:f>
      </x:c>
      <x:c r="Q151" s="75" t="str">
        <x:f>IF($E151="","",O151+P151)</x:f>
      </x:c>
      <x:c r="R151" s="75" t="str">
        <x:f>IF($E151="","",MAX(0,N151-Q151))</x:f>
      </x:c>
      <x:c r="S151" s="75" t="str">
        <x:f>IF($E151="","",SUMIFS('Master_Rules'!$G$4:$G$200,'Master_Rules'!$D$4:$D$200,E151))</x:f>
      </x:c>
      <x:c r="T151" s="75" t="str">
        <x:f>IF($E151="","",IF(S151=0,R151,MAX(S151,CEILING(R151,SUMIFS('Master_Rules'!$H$4:$H$200,'Master_Rules'!$D$4:$D$200,E151)))))</x:f>
      </x:c>
      <x:c r="U151" s="75" t="str">
        <x:f>IF($E151="","",T151*SUMIFS('Master_Rules'!$J$4:$J$200,'Master_Rules'!$D$4:$D$200,E151))</x:f>
      </x:c>
      <x:c r="V151" s="83" t="str">
        <x:f>IF($E151="","",IF(T151&gt;R151,"MOQ 조정",IF(K151="Y","필수품 확인","정상")))</x:f>
      </x:c>
    </x:row>
    <x:row r="152">
      <x:c r="A152" s="71"/>
      <x:c r="B152" s="71"/>
      <x:c r="C152" s="72"/>
      <x:c r="D152" s="72"/>
      <x:c r="E152" s="72"/>
      <x:c r="F152" s="72"/>
      <x:c r="G152" s="72"/>
      <x:c r="H152" s="81" t="str">
        <x:f>IF($E152="","",SUMIFS('Input_OL'!$K$4:$K$200,'Input_OL'!$C$4:$C$200,C152,'Input_OL'!$F$4:$F$200,B152))</x:f>
      </x:c>
      <x:c r="I152" s="81" t="str">
        <x:f>IF($E152="","",SUMIFS('Master_BOM'!$F$4:$F$200,'Master_BOM'!$A$4:$A$200,C152,'Master_BOM'!$C$4:$C$200,E152))</x:f>
      </x:c>
      <x:c r="J152" s="82" t="str">
        <x:f>IF($E152="","",SUMIFS('Master_BOM'!$G$4:$G$200,'Master_BOM'!$A$4:$A$200,C152,'Master_BOM'!$C$4:$C$200,E152))</x:f>
      </x:c>
      <x:c r="K152" s="83" t="str">
        <x:f>IF($E152="","",SUMIFS('Master_BOM'!$H$4:$H$200,'Master_BOM'!$A$4:$A$200,C152,'Master_BOM'!$C$4:$C$200,E152))</x:f>
      </x:c>
      <x:c r="L152" s="75" t="str">
        <x:f>IF($E152="","",IF(K152="Y",H152*I152,H152*I152*J152))</x:f>
      </x:c>
      <x:c r="M152" s="75" t="str">
        <x:f>IF($E152="","",IFERROR(SUMIFS('Master_BOM'!$J$4:$J$200,'Master_BOM'!$C$4:$C$200,E152),0))</x:f>
      </x:c>
      <x:c r="N152" s="75" t="str">
        <x:f>IF($E152="","",L152+M152)</x:f>
      </x:c>
      <x:c r="O152" s="75" t="str">
        <x:f>IF($E152="","",SUMIFS('Input_Inventory'!$G$4:$G$200,'Input_Inventory'!$C$4:$C$200,E152))</x:f>
      </x:c>
      <x:c r="P152" s="75" t="str">
        <x:f>IF($E152="","",SUMIFS('Input_Inventory'!$L$4:$L$200,'Input_Inventory'!$C$4:$C$200,E152,'Input_Inventory'!$F$4:$F$200,B152))</x:f>
      </x:c>
      <x:c r="Q152" s="75" t="str">
        <x:f>IF($E152="","",O152+P152)</x:f>
      </x:c>
      <x:c r="R152" s="75" t="str">
        <x:f>IF($E152="","",MAX(0,N152-Q152))</x:f>
      </x:c>
      <x:c r="S152" s="75" t="str">
        <x:f>IF($E152="","",SUMIFS('Master_Rules'!$G$4:$G$200,'Master_Rules'!$D$4:$D$200,E152))</x:f>
      </x:c>
      <x:c r="T152" s="75" t="str">
        <x:f>IF($E152="","",IF(S152=0,R152,MAX(S152,CEILING(R152,SUMIFS('Master_Rules'!$H$4:$H$200,'Master_Rules'!$D$4:$D$200,E152)))))</x:f>
      </x:c>
      <x:c r="U152" s="75" t="str">
        <x:f>IF($E152="","",T152*SUMIFS('Master_Rules'!$J$4:$J$200,'Master_Rules'!$D$4:$D$200,E152))</x:f>
      </x:c>
      <x:c r="V152" s="83" t="str">
        <x:f>IF($E152="","",IF(T152&gt;R152,"MOQ 조정",IF(K152="Y","필수품 확인","정상")))</x:f>
      </x:c>
    </x:row>
    <x:row r="153">
      <x:c r="A153" s="71"/>
      <x:c r="B153" s="71"/>
      <x:c r="C153" s="72"/>
      <x:c r="D153" s="72"/>
      <x:c r="E153" s="72"/>
      <x:c r="F153" s="72"/>
      <x:c r="G153" s="72"/>
      <x:c r="H153" s="81" t="str">
        <x:f>IF($E153="","",SUMIFS('Input_OL'!$K$4:$K$200,'Input_OL'!$C$4:$C$200,C153,'Input_OL'!$F$4:$F$200,B153))</x:f>
      </x:c>
      <x:c r="I153" s="81" t="str">
        <x:f>IF($E153="","",SUMIFS('Master_BOM'!$F$4:$F$200,'Master_BOM'!$A$4:$A$200,C153,'Master_BOM'!$C$4:$C$200,E153))</x:f>
      </x:c>
      <x:c r="J153" s="82" t="str">
        <x:f>IF($E153="","",SUMIFS('Master_BOM'!$G$4:$G$200,'Master_BOM'!$A$4:$A$200,C153,'Master_BOM'!$C$4:$C$200,E153))</x:f>
      </x:c>
      <x:c r="K153" s="83" t="str">
        <x:f>IF($E153="","",SUMIFS('Master_BOM'!$H$4:$H$200,'Master_BOM'!$A$4:$A$200,C153,'Master_BOM'!$C$4:$C$200,E153))</x:f>
      </x:c>
      <x:c r="L153" s="75" t="str">
        <x:f>IF($E153="","",IF(K153="Y",H153*I153,H153*I153*J153))</x:f>
      </x:c>
      <x:c r="M153" s="75" t="str">
        <x:f>IF($E153="","",IFERROR(SUMIFS('Master_BOM'!$J$4:$J$200,'Master_BOM'!$C$4:$C$200,E153),0))</x:f>
      </x:c>
      <x:c r="N153" s="75" t="str">
        <x:f>IF($E153="","",L153+M153)</x:f>
      </x:c>
      <x:c r="O153" s="75" t="str">
        <x:f>IF($E153="","",SUMIFS('Input_Inventory'!$G$4:$G$200,'Input_Inventory'!$C$4:$C$200,E153))</x:f>
      </x:c>
      <x:c r="P153" s="75" t="str">
        <x:f>IF($E153="","",SUMIFS('Input_Inventory'!$L$4:$L$200,'Input_Inventory'!$C$4:$C$200,E153,'Input_Inventory'!$F$4:$F$200,B153))</x:f>
      </x:c>
      <x:c r="Q153" s="75" t="str">
        <x:f>IF($E153="","",O153+P153)</x:f>
      </x:c>
      <x:c r="R153" s="75" t="str">
        <x:f>IF($E153="","",MAX(0,N153-Q153))</x:f>
      </x:c>
      <x:c r="S153" s="75" t="str">
        <x:f>IF($E153="","",SUMIFS('Master_Rules'!$G$4:$G$200,'Master_Rules'!$D$4:$D$200,E153))</x:f>
      </x:c>
      <x:c r="T153" s="75" t="str">
        <x:f>IF($E153="","",IF(S153=0,R153,MAX(S153,CEILING(R153,SUMIFS('Master_Rules'!$H$4:$H$200,'Master_Rules'!$D$4:$D$200,E153)))))</x:f>
      </x:c>
      <x:c r="U153" s="75" t="str">
        <x:f>IF($E153="","",T153*SUMIFS('Master_Rules'!$J$4:$J$200,'Master_Rules'!$D$4:$D$200,E153))</x:f>
      </x:c>
      <x:c r="V153" s="83" t="str">
        <x:f>IF($E153="","",IF(T153&gt;R153,"MOQ 조정",IF(K153="Y","필수품 확인","정상")))</x:f>
      </x:c>
    </x:row>
    <x:row r="154">
      <x:c r="A154" s="71"/>
      <x:c r="B154" s="71"/>
      <x:c r="C154" s="72"/>
      <x:c r="D154" s="72"/>
      <x:c r="E154" s="72"/>
      <x:c r="F154" s="72"/>
      <x:c r="G154" s="72"/>
      <x:c r="H154" s="81" t="str">
        <x:f>IF($E154="","",SUMIFS('Input_OL'!$K$4:$K$200,'Input_OL'!$C$4:$C$200,C154,'Input_OL'!$F$4:$F$200,B154))</x:f>
      </x:c>
      <x:c r="I154" s="81" t="str">
        <x:f>IF($E154="","",SUMIFS('Master_BOM'!$F$4:$F$200,'Master_BOM'!$A$4:$A$200,C154,'Master_BOM'!$C$4:$C$200,E154))</x:f>
      </x:c>
      <x:c r="J154" s="82" t="str">
        <x:f>IF($E154="","",SUMIFS('Master_BOM'!$G$4:$G$200,'Master_BOM'!$A$4:$A$200,C154,'Master_BOM'!$C$4:$C$200,E154))</x:f>
      </x:c>
      <x:c r="K154" s="83" t="str">
        <x:f>IF($E154="","",SUMIFS('Master_BOM'!$H$4:$H$200,'Master_BOM'!$A$4:$A$200,C154,'Master_BOM'!$C$4:$C$200,E154))</x:f>
      </x:c>
      <x:c r="L154" s="75" t="str">
        <x:f>IF($E154="","",IF(K154="Y",H154*I154,H154*I154*J154))</x:f>
      </x:c>
      <x:c r="M154" s="75" t="str">
        <x:f>IF($E154="","",IFERROR(SUMIFS('Master_BOM'!$J$4:$J$200,'Master_BOM'!$C$4:$C$200,E154),0))</x:f>
      </x:c>
      <x:c r="N154" s="75" t="str">
        <x:f>IF($E154="","",L154+M154)</x:f>
      </x:c>
      <x:c r="O154" s="75" t="str">
        <x:f>IF($E154="","",SUMIFS('Input_Inventory'!$G$4:$G$200,'Input_Inventory'!$C$4:$C$200,E154))</x:f>
      </x:c>
      <x:c r="P154" s="75" t="str">
        <x:f>IF($E154="","",SUMIFS('Input_Inventory'!$L$4:$L$200,'Input_Inventory'!$C$4:$C$200,E154,'Input_Inventory'!$F$4:$F$200,B154))</x:f>
      </x:c>
      <x:c r="Q154" s="75" t="str">
        <x:f>IF($E154="","",O154+P154)</x:f>
      </x:c>
      <x:c r="R154" s="75" t="str">
        <x:f>IF($E154="","",MAX(0,N154-Q154))</x:f>
      </x:c>
      <x:c r="S154" s="75" t="str">
        <x:f>IF($E154="","",SUMIFS('Master_Rules'!$G$4:$G$200,'Master_Rules'!$D$4:$D$200,E154))</x:f>
      </x:c>
      <x:c r="T154" s="75" t="str">
        <x:f>IF($E154="","",IF(S154=0,R154,MAX(S154,CEILING(R154,SUMIFS('Master_Rules'!$H$4:$H$200,'Master_Rules'!$D$4:$D$200,E154)))))</x:f>
      </x:c>
      <x:c r="U154" s="75" t="str">
        <x:f>IF($E154="","",T154*SUMIFS('Master_Rules'!$J$4:$J$200,'Master_Rules'!$D$4:$D$200,E154))</x:f>
      </x:c>
      <x:c r="V154" s="83" t="str">
        <x:f>IF($E154="","",IF(T154&gt;R154,"MOQ 조정",IF(K154="Y","필수품 확인","정상")))</x:f>
      </x:c>
    </x:row>
    <x:row r="155">
      <x:c r="A155" s="71"/>
      <x:c r="B155" s="71"/>
      <x:c r="C155" s="72"/>
      <x:c r="D155" s="72"/>
      <x:c r="E155" s="72"/>
      <x:c r="F155" s="72"/>
      <x:c r="G155" s="72"/>
      <x:c r="H155" s="81" t="str">
        <x:f>IF($E155="","",SUMIFS('Input_OL'!$K$4:$K$200,'Input_OL'!$C$4:$C$200,C155,'Input_OL'!$F$4:$F$200,B155))</x:f>
      </x:c>
      <x:c r="I155" s="81" t="str">
        <x:f>IF($E155="","",SUMIFS('Master_BOM'!$F$4:$F$200,'Master_BOM'!$A$4:$A$200,C155,'Master_BOM'!$C$4:$C$200,E155))</x:f>
      </x:c>
      <x:c r="J155" s="82" t="str">
        <x:f>IF($E155="","",SUMIFS('Master_BOM'!$G$4:$G$200,'Master_BOM'!$A$4:$A$200,C155,'Master_BOM'!$C$4:$C$200,E155))</x:f>
      </x:c>
      <x:c r="K155" s="83" t="str">
        <x:f>IF($E155="","",SUMIFS('Master_BOM'!$H$4:$H$200,'Master_BOM'!$A$4:$A$200,C155,'Master_BOM'!$C$4:$C$200,E155))</x:f>
      </x:c>
      <x:c r="L155" s="75" t="str">
        <x:f>IF($E155="","",IF(K155="Y",H155*I155,H155*I155*J155))</x:f>
      </x:c>
      <x:c r="M155" s="75" t="str">
        <x:f>IF($E155="","",IFERROR(SUMIFS('Master_BOM'!$J$4:$J$200,'Master_BOM'!$C$4:$C$200,E155),0))</x:f>
      </x:c>
      <x:c r="N155" s="75" t="str">
        <x:f>IF($E155="","",L155+M155)</x:f>
      </x:c>
      <x:c r="O155" s="75" t="str">
        <x:f>IF($E155="","",SUMIFS('Input_Inventory'!$G$4:$G$200,'Input_Inventory'!$C$4:$C$200,E155))</x:f>
      </x:c>
      <x:c r="P155" s="75" t="str">
        <x:f>IF($E155="","",SUMIFS('Input_Inventory'!$L$4:$L$200,'Input_Inventory'!$C$4:$C$200,E155,'Input_Inventory'!$F$4:$F$200,B155))</x:f>
      </x:c>
      <x:c r="Q155" s="75" t="str">
        <x:f>IF($E155="","",O155+P155)</x:f>
      </x:c>
      <x:c r="R155" s="75" t="str">
        <x:f>IF($E155="","",MAX(0,N155-Q155))</x:f>
      </x:c>
      <x:c r="S155" s="75" t="str">
        <x:f>IF($E155="","",SUMIFS('Master_Rules'!$G$4:$G$200,'Master_Rules'!$D$4:$D$200,E155))</x:f>
      </x:c>
      <x:c r="T155" s="75" t="str">
        <x:f>IF($E155="","",IF(S155=0,R155,MAX(S155,CEILING(R155,SUMIFS('Master_Rules'!$H$4:$H$200,'Master_Rules'!$D$4:$D$200,E155)))))</x:f>
      </x:c>
      <x:c r="U155" s="75" t="str">
        <x:f>IF($E155="","",T155*SUMIFS('Master_Rules'!$J$4:$J$200,'Master_Rules'!$D$4:$D$200,E155))</x:f>
      </x:c>
      <x:c r="V155" s="83" t="str">
        <x:f>IF($E155="","",IF(T155&gt;R155,"MOQ 조정",IF(K155="Y","필수품 확인","정상")))</x:f>
      </x:c>
    </x:row>
    <x:row r="156">
      <x:c r="A156" s="71"/>
      <x:c r="B156" s="71"/>
      <x:c r="C156" s="72"/>
      <x:c r="D156" s="72"/>
      <x:c r="E156" s="72"/>
      <x:c r="F156" s="72"/>
      <x:c r="G156" s="72"/>
      <x:c r="H156" s="81" t="str">
        <x:f>IF($E156="","",SUMIFS('Input_OL'!$K$4:$K$200,'Input_OL'!$C$4:$C$200,C156,'Input_OL'!$F$4:$F$200,B156))</x:f>
      </x:c>
      <x:c r="I156" s="81" t="str">
        <x:f>IF($E156="","",SUMIFS('Master_BOM'!$F$4:$F$200,'Master_BOM'!$A$4:$A$200,C156,'Master_BOM'!$C$4:$C$200,E156))</x:f>
      </x:c>
      <x:c r="J156" s="82" t="str">
        <x:f>IF($E156="","",SUMIFS('Master_BOM'!$G$4:$G$200,'Master_BOM'!$A$4:$A$200,C156,'Master_BOM'!$C$4:$C$200,E156))</x:f>
      </x:c>
      <x:c r="K156" s="83" t="str">
        <x:f>IF($E156="","",SUMIFS('Master_BOM'!$H$4:$H$200,'Master_BOM'!$A$4:$A$200,C156,'Master_BOM'!$C$4:$C$200,E156))</x:f>
      </x:c>
      <x:c r="L156" s="75" t="str">
        <x:f>IF($E156="","",IF(K156="Y",H156*I156,H156*I156*J156))</x:f>
      </x:c>
      <x:c r="M156" s="75" t="str">
        <x:f>IF($E156="","",IFERROR(SUMIFS('Master_BOM'!$J$4:$J$200,'Master_BOM'!$C$4:$C$200,E156),0))</x:f>
      </x:c>
      <x:c r="N156" s="75" t="str">
        <x:f>IF($E156="","",L156+M156)</x:f>
      </x:c>
      <x:c r="O156" s="75" t="str">
        <x:f>IF($E156="","",SUMIFS('Input_Inventory'!$G$4:$G$200,'Input_Inventory'!$C$4:$C$200,E156))</x:f>
      </x:c>
      <x:c r="P156" s="75" t="str">
        <x:f>IF($E156="","",SUMIFS('Input_Inventory'!$L$4:$L$200,'Input_Inventory'!$C$4:$C$200,E156,'Input_Inventory'!$F$4:$F$200,B156))</x:f>
      </x:c>
      <x:c r="Q156" s="75" t="str">
        <x:f>IF($E156="","",O156+P156)</x:f>
      </x:c>
      <x:c r="R156" s="75" t="str">
        <x:f>IF($E156="","",MAX(0,N156-Q156))</x:f>
      </x:c>
      <x:c r="S156" s="75" t="str">
        <x:f>IF($E156="","",SUMIFS('Master_Rules'!$G$4:$G$200,'Master_Rules'!$D$4:$D$200,E156))</x:f>
      </x:c>
      <x:c r="T156" s="75" t="str">
        <x:f>IF($E156="","",IF(S156=0,R156,MAX(S156,CEILING(R156,SUMIFS('Master_Rules'!$H$4:$H$200,'Master_Rules'!$D$4:$D$200,E156)))))</x:f>
      </x:c>
      <x:c r="U156" s="75" t="str">
        <x:f>IF($E156="","",T156*SUMIFS('Master_Rules'!$J$4:$J$200,'Master_Rules'!$D$4:$D$200,E156))</x:f>
      </x:c>
      <x:c r="V156" s="83" t="str">
        <x:f>IF($E156="","",IF(T156&gt;R156,"MOQ 조정",IF(K156="Y","필수품 확인","정상")))</x:f>
      </x:c>
    </x:row>
    <x:row r="157">
      <x:c r="A157" s="71"/>
      <x:c r="B157" s="71"/>
      <x:c r="C157" s="72"/>
      <x:c r="D157" s="72"/>
      <x:c r="E157" s="72"/>
      <x:c r="F157" s="72"/>
      <x:c r="G157" s="72"/>
      <x:c r="H157" s="81" t="str">
        <x:f>IF($E157="","",SUMIFS('Input_OL'!$K$4:$K$200,'Input_OL'!$C$4:$C$200,C157,'Input_OL'!$F$4:$F$200,B157))</x:f>
      </x:c>
      <x:c r="I157" s="81" t="str">
        <x:f>IF($E157="","",SUMIFS('Master_BOM'!$F$4:$F$200,'Master_BOM'!$A$4:$A$200,C157,'Master_BOM'!$C$4:$C$200,E157))</x:f>
      </x:c>
      <x:c r="J157" s="82" t="str">
        <x:f>IF($E157="","",SUMIFS('Master_BOM'!$G$4:$G$200,'Master_BOM'!$A$4:$A$200,C157,'Master_BOM'!$C$4:$C$200,E157))</x:f>
      </x:c>
      <x:c r="K157" s="83" t="str">
        <x:f>IF($E157="","",SUMIFS('Master_BOM'!$H$4:$H$200,'Master_BOM'!$A$4:$A$200,C157,'Master_BOM'!$C$4:$C$200,E157))</x:f>
      </x:c>
      <x:c r="L157" s="75" t="str">
        <x:f>IF($E157="","",IF(K157="Y",H157*I157,H157*I157*J157))</x:f>
      </x:c>
      <x:c r="M157" s="75" t="str">
        <x:f>IF($E157="","",IFERROR(SUMIFS('Master_BOM'!$J$4:$J$200,'Master_BOM'!$C$4:$C$200,E157),0))</x:f>
      </x:c>
      <x:c r="N157" s="75" t="str">
        <x:f>IF($E157="","",L157+M157)</x:f>
      </x:c>
      <x:c r="O157" s="75" t="str">
        <x:f>IF($E157="","",SUMIFS('Input_Inventory'!$G$4:$G$200,'Input_Inventory'!$C$4:$C$200,E157))</x:f>
      </x:c>
      <x:c r="P157" s="75" t="str">
        <x:f>IF($E157="","",SUMIFS('Input_Inventory'!$L$4:$L$200,'Input_Inventory'!$C$4:$C$200,E157,'Input_Inventory'!$F$4:$F$200,B157))</x:f>
      </x:c>
      <x:c r="Q157" s="75" t="str">
        <x:f>IF($E157="","",O157+P157)</x:f>
      </x:c>
      <x:c r="R157" s="75" t="str">
        <x:f>IF($E157="","",MAX(0,N157-Q157))</x:f>
      </x:c>
      <x:c r="S157" s="75" t="str">
        <x:f>IF($E157="","",SUMIFS('Master_Rules'!$G$4:$G$200,'Master_Rules'!$D$4:$D$200,E157))</x:f>
      </x:c>
      <x:c r="T157" s="75" t="str">
        <x:f>IF($E157="","",IF(S157=0,R157,MAX(S157,CEILING(R157,SUMIFS('Master_Rules'!$H$4:$H$200,'Master_Rules'!$D$4:$D$200,E157)))))</x:f>
      </x:c>
      <x:c r="U157" s="75" t="str">
        <x:f>IF($E157="","",T157*SUMIFS('Master_Rules'!$J$4:$J$200,'Master_Rules'!$D$4:$D$200,E157))</x:f>
      </x:c>
      <x:c r="V157" s="83" t="str">
        <x:f>IF($E157="","",IF(T157&gt;R157,"MOQ 조정",IF(K157="Y","필수품 확인","정상")))</x:f>
      </x:c>
    </x:row>
    <x:row r="158">
      <x:c r="A158" s="71"/>
      <x:c r="B158" s="71"/>
      <x:c r="C158" s="72"/>
      <x:c r="D158" s="72"/>
      <x:c r="E158" s="72"/>
      <x:c r="F158" s="72"/>
      <x:c r="G158" s="72"/>
      <x:c r="H158" s="81" t="str">
        <x:f>IF($E158="","",SUMIFS('Input_OL'!$K$4:$K$200,'Input_OL'!$C$4:$C$200,C158,'Input_OL'!$F$4:$F$200,B158))</x:f>
      </x:c>
      <x:c r="I158" s="81" t="str">
        <x:f>IF($E158="","",SUMIFS('Master_BOM'!$F$4:$F$200,'Master_BOM'!$A$4:$A$200,C158,'Master_BOM'!$C$4:$C$200,E158))</x:f>
      </x:c>
      <x:c r="J158" s="82" t="str">
        <x:f>IF($E158="","",SUMIFS('Master_BOM'!$G$4:$G$200,'Master_BOM'!$A$4:$A$200,C158,'Master_BOM'!$C$4:$C$200,E158))</x:f>
      </x:c>
      <x:c r="K158" s="83" t="str">
        <x:f>IF($E158="","",SUMIFS('Master_BOM'!$H$4:$H$200,'Master_BOM'!$A$4:$A$200,C158,'Master_BOM'!$C$4:$C$200,E158))</x:f>
      </x:c>
      <x:c r="L158" s="75" t="str">
        <x:f>IF($E158="","",IF(K158="Y",H158*I158,H158*I158*J158))</x:f>
      </x:c>
      <x:c r="M158" s="75" t="str">
        <x:f>IF($E158="","",IFERROR(SUMIFS('Master_BOM'!$J$4:$J$200,'Master_BOM'!$C$4:$C$200,E158),0))</x:f>
      </x:c>
      <x:c r="N158" s="75" t="str">
        <x:f>IF($E158="","",L158+M158)</x:f>
      </x:c>
      <x:c r="O158" s="75" t="str">
        <x:f>IF($E158="","",SUMIFS('Input_Inventory'!$G$4:$G$200,'Input_Inventory'!$C$4:$C$200,E158))</x:f>
      </x:c>
      <x:c r="P158" s="75" t="str">
        <x:f>IF($E158="","",SUMIFS('Input_Inventory'!$L$4:$L$200,'Input_Inventory'!$C$4:$C$200,E158,'Input_Inventory'!$F$4:$F$200,B158))</x:f>
      </x:c>
      <x:c r="Q158" s="75" t="str">
        <x:f>IF($E158="","",O158+P158)</x:f>
      </x:c>
      <x:c r="R158" s="75" t="str">
        <x:f>IF($E158="","",MAX(0,N158-Q158))</x:f>
      </x:c>
      <x:c r="S158" s="75" t="str">
        <x:f>IF($E158="","",SUMIFS('Master_Rules'!$G$4:$G$200,'Master_Rules'!$D$4:$D$200,E158))</x:f>
      </x:c>
      <x:c r="T158" s="75" t="str">
        <x:f>IF($E158="","",IF(S158=0,R158,MAX(S158,CEILING(R158,SUMIFS('Master_Rules'!$H$4:$H$200,'Master_Rules'!$D$4:$D$200,E158)))))</x:f>
      </x:c>
      <x:c r="U158" s="75" t="str">
        <x:f>IF($E158="","",T158*SUMIFS('Master_Rules'!$J$4:$J$200,'Master_Rules'!$D$4:$D$200,E158))</x:f>
      </x:c>
      <x:c r="V158" s="83" t="str">
        <x:f>IF($E158="","",IF(T158&gt;R158,"MOQ 조정",IF(K158="Y","필수품 확인","정상")))</x:f>
      </x:c>
    </x:row>
    <x:row r="159">
      <x:c r="A159" s="71"/>
      <x:c r="B159" s="71"/>
      <x:c r="C159" s="72"/>
      <x:c r="D159" s="72"/>
      <x:c r="E159" s="72"/>
      <x:c r="F159" s="72"/>
      <x:c r="G159" s="72"/>
      <x:c r="H159" s="81" t="str">
        <x:f>IF($E159="","",SUMIFS('Input_OL'!$K$4:$K$200,'Input_OL'!$C$4:$C$200,C159,'Input_OL'!$F$4:$F$200,B159))</x:f>
      </x:c>
      <x:c r="I159" s="81" t="str">
        <x:f>IF($E159="","",SUMIFS('Master_BOM'!$F$4:$F$200,'Master_BOM'!$A$4:$A$200,C159,'Master_BOM'!$C$4:$C$200,E159))</x:f>
      </x:c>
      <x:c r="J159" s="82" t="str">
        <x:f>IF($E159="","",SUMIFS('Master_BOM'!$G$4:$G$200,'Master_BOM'!$A$4:$A$200,C159,'Master_BOM'!$C$4:$C$200,E159))</x:f>
      </x:c>
      <x:c r="K159" s="83" t="str">
        <x:f>IF($E159="","",SUMIFS('Master_BOM'!$H$4:$H$200,'Master_BOM'!$A$4:$A$200,C159,'Master_BOM'!$C$4:$C$200,E159))</x:f>
      </x:c>
      <x:c r="L159" s="75" t="str">
        <x:f>IF($E159="","",IF(K159="Y",H159*I159,H159*I159*J159))</x:f>
      </x:c>
      <x:c r="M159" s="75" t="str">
        <x:f>IF($E159="","",IFERROR(SUMIFS('Master_BOM'!$J$4:$J$200,'Master_BOM'!$C$4:$C$200,E159),0))</x:f>
      </x:c>
      <x:c r="N159" s="75" t="str">
        <x:f>IF($E159="","",L159+M159)</x:f>
      </x:c>
      <x:c r="O159" s="75" t="str">
        <x:f>IF($E159="","",SUMIFS('Input_Inventory'!$G$4:$G$200,'Input_Inventory'!$C$4:$C$200,E159))</x:f>
      </x:c>
      <x:c r="P159" s="75" t="str">
        <x:f>IF($E159="","",SUMIFS('Input_Inventory'!$L$4:$L$200,'Input_Inventory'!$C$4:$C$200,E159,'Input_Inventory'!$F$4:$F$200,B159))</x:f>
      </x:c>
      <x:c r="Q159" s="75" t="str">
        <x:f>IF($E159="","",O159+P159)</x:f>
      </x:c>
      <x:c r="R159" s="75" t="str">
        <x:f>IF($E159="","",MAX(0,N159-Q159))</x:f>
      </x:c>
      <x:c r="S159" s="75" t="str">
        <x:f>IF($E159="","",SUMIFS('Master_Rules'!$G$4:$G$200,'Master_Rules'!$D$4:$D$200,E159))</x:f>
      </x:c>
      <x:c r="T159" s="75" t="str">
        <x:f>IF($E159="","",IF(S159=0,R159,MAX(S159,CEILING(R159,SUMIFS('Master_Rules'!$H$4:$H$200,'Master_Rules'!$D$4:$D$200,E159)))))</x:f>
      </x:c>
      <x:c r="U159" s="75" t="str">
        <x:f>IF($E159="","",T159*SUMIFS('Master_Rules'!$J$4:$J$200,'Master_Rules'!$D$4:$D$200,E159))</x:f>
      </x:c>
      <x:c r="V159" s="83" t="str">
        <x:f>IF($E159="","",IF(T159&gt;R159,"MOQ 조정",IF(K159="Y","필수품 확인","정상")))</x:f>
      </x:c>
    </x:row>
    <x:row r="160">
      <x:c r="A160" s="71"/>
      <x:c r="B160" s="71"/>
      <x:c r="C160" s="72"/>
      <x:c r="D160" s="72"/>
      <x:c r="E160" s="72"/>
      <x:c r="F160" s="72"/>
      <x:c r="G160" s="72"/>
      <x:c r="H160" s="81" t="str">
        <x:f>IF($E160="","",SUMIFS('Input_OL'!$K$4:$K$200,'Input_OL'!$C$4:$C$200,C160,'Input_OL'!$F$4:$F$200,B160))</x:f>
      </x:c>
      <x:c r="I160" s="81" t="str">
        <x:f>IF($E160="","",SUMIFS('Master_BOM'!$F$4:$F$200,'Master_BOM'!$A$4:$A$200,C160,'Master_BOM'!$C$4:$C$200,E160))</x:f>
      </x:c>
      <x:c r="J160" s="82" t="str">
        <x:f>IF($E160="","",SUMIFS('Master_BOM'!$G$4:$G$200,'Master_BOM'!$A$4:$A$200,C160,'Master_BOM'!$C$4:$C$200,E160))</x:f>
      </x:c>
      <x:c r="K160" s="83" t="str">
        <x:f>IF($E160="","",SUMIFS('Master_BOM'!$H$4:$H$200,'Master_BOM'!$A$4:$A$200,C160,'Master_BOM'!$C$4:$C$200,E160))</x:f>
      </x:c>
      <x:c r="L160" s="75" t="str">
        <x:f>IF($E160="","",IF(K160="Y",H160*I160,H160*I160*J160))</x:f>
      </x:c>
      <x:c r="M160" s="75" t="str">
        <x:f>IF($E160="","",IFERROR(SUMIFS('Master_BOM'!$J$4:$J$200,'Master_BOM'!$C$4:$C$200,E160),0))</x:f>
      </x:c>
      <x:c r="N160" s="75" t="str">
        <x:f>IF($E160="","",L160+M160)</x:f>
      </x:c>
      <x:c r="O160" s="75" t="str">
        <x:f>IF($E160="","",SUMIFS('Input_Inventory'!$G$4:$G$200,'Input_Inventory'!$C$4:$C$200,E160))</x:f>
      </x:c>
      <x:c r="P160" s="75" t="str">
        <x:f>IF($E160="","",SUMIFS('Input_Inventory'!$L$4:$L$200,'Input_Inventory'!$C$4:$C$200,E160,'Input_Inventory'!$F$4:$F$200,B160))</x:f>
      </x:c>
      <x:c r="Q160" s="75" t="str">
        <x:f>IF($E160="","",O160+P160)</x:f>
      </x:c>
      <x:c r="R160" s="75" t="str">
        <x:f>IF($E160="","",MAX(0,N160-Q160))</x:f>
      </x:c>
      <x:c r="S160" s="75" t="str">
        <x:f>IF($E160="","",SUMIFS('Master_Rules'!$G$4:$G$200,'Master_Rules'!$D$4:$D$200,E160))</x:f>
      </x:c>
      <x:c r="T160" s="75" t="str">
        <x:f>IF($E160="","",IF(S160=0,R160,MAX(S160,CEILING(R160,SUMIFS('Master_Rules'!$H$4:$H$200,'Master_Rules'!$D$4:$D$200,E160)))))</x:f>
      </x:c>
      <x:c r="U160" s="75" t="str">
        <x:f>IF($E160="","",T160*SUMIFS('Master_Rules'!$J$4:$J$200,'Master_Rules'!$D$4:$D$200,E160))</x:f>
      </x:c>
      <x:c r="V160" s="83" t="str">
        <x:f>IF($E160="","",IF(T160&gt;R160,"MOQ 조정",IF(K160="Y","필수품 확인","정상")))</x:f>
      </x:c>
    </x:row>
    <x:row r="161">
      <x:c r="A161" s="71"/>
      <x:c r="B161" s="71"/>
      <x:c r="C161" s="72"/>
      <x:c r="D161" s="72"/>
      <x:c r="E161" s="72"/>
      <x:c r="F161" s="72"/>
      <x:c r="G161" s="72"/>
      <x:c r="H161" s="81" t="str">
        <x:f>IF($E161="","",SUMIFS('Input_OL'!$K$4:$K$200,'Input_OL'!$C$4:$C$200,C161,'Input_OL'!$F$4:$F$200,B161))</x:f>
      </x:c>
      <x:c r="I161" s="81" t="str">
        <x:f>IF($E161="","",SUMIFS('Master_BOM'!$F$4:$F$200,'Master_BOM'!$A$4:$A$200,C161,'Master_BOM'!$C$4:$C$200,E161))</x:f>
      </x:c>
      <x:c r="J161" s="82" t="str">
        <x:f>IF($E161="","",SUMIFS('Master_BOM'!$G$4:$G$200,'Master_BOM'!$A$4:$A$200,C161,'Master_BOM'!$C$4:$C$200,E161))</x:f>
      </x:c>
      <x:c r="K161" s="83" t="str">
        <x:f>IF($E161="","",SUMIFS('Master_BOM'!$H$4:$H$200,'Master_BOM'!$A$4:$A$200,C161,'Master_BOM'!$C$4:$C$200,E161))</x:f>
      </x:c>
      <x:c r="L161" s="75" t="str">
        <x:f>IF($E161="","",IF(K161="Y",H161*I161,H161*I161*J161))</x:f>
      </x:c>
      <x:c r="M161" s="75" t="str">
        <x:f>IF($E161="","",IFERROR(SUMIFS('Master_BOM'!$J$4:$J$200,'Master_BOM'!$C$4:$C$200,E161),0))</x:f>
      </x:c>
      <x:c r="N161" s="75" t="str">
        <x:f>IF($E161="","",L161+M161)</x:f>
      </x:c>
      <x:c r="O161" s="75" t="str">
        <x:f>IF($E161="","",SUMIFS('Input_Inventory'!$G$4:$G$200,'Input_Inventory'!$C$4:$C$200,E161))</x:f>
      </x:c>
      <x:c r="P161" s="75" t="str">
        <x:f>IF($E161="","",SUMIFS('Input_Inventory'!$L$4:$L$200,'Input_Inventory'!$C$4:$C$200,E161,'Input_Inventory'!$F$4:$F$200,B161))</x:f>
      </x:c>
      <x:c r="Q161" s="75" t="str">
        <x:f>IF($E161="","",O161+P161)</x:f>
      </x:c>
      <x:c r="R161" s="75" t="str">
        <x:f>IF($E161="","",MAX(0,N161-Q161))</x:f>
      </x:c>
      <x:c r="S161" s="75" t="str">
        <x:f>IF($E161="","",SUMIFS('Master_Rules'!$G$4:$G$200,'Master_Rules'!$D$4:$D$200,E161))</x:f>
      </x:c>
      <x:c r="T161" s="75" t="str">
        <x:f>IF($E161="","",IF(S161=0,R161,MAX(S161,CEILING(R161,SUMIFS('Master_Rules'!$H$4:$H$200,'Master_Rules'!$D$4:$D$200,E161)))))</x:f>
      </x:c>
      <x:c r="U161" s="75" t="str">
        <x:f>IF($E161="","",T161*SUMIFS('Master_Rules'!$J$4:$J$200,'Master_Rules'!$D$4:$D$200,E161))</x:f>
      </x:c>
      <x:c r="V161" s="83" t="str">
        <x:f>IF($E161="","",IF(T161&gt;R161,"MOQ 조정",IF(K161="Y","필수품 확인","정상")))</x:f>
      </x:c>
    </x:row>
    <x:row r="162">
      <x:c r="A162" s="71"/>
      <x:c r="B162" s="71"/>
      <x:c r="C162" s="72"/>
      <x:c r="D162" s="72"/>
      <x:c r="E162" s="72"/>
      <x:c r="F162" s="72"/>
      <x:c r="G162" s="72"/>
      <x:c r="H162" s="81" t="str">
        <x:f>IF($E162="","",SUMIFS('Input_OL'!$K$4:$K$200,'Input_OL'!$C$4:$C$200,C162,'Input_OL'!$F$4:$F$200,B162))</x:f>
      </x:c>
      <x:c r="I162" s="81" t="str">
        <x:f>IF($E162="","",SUMIFS('Master_BOM'!$F$4:$F$200,'Master_BOM'!$A$4:$A$200,C162,'Master_BOM'!$C$4:$C$200,E162))</x:f>
      </x:c>
      <x:c r="J162" s="82" t="str">
        <x:f>IF($E162="","",SUMIFS('Master_BOM'!$G$4:$G$200,'Master_BOM'!$A$4:$A$200,C162,'Master_BOM'!$C$4:$C$200,E162))</x:f>
      </x:c>
      <x:c r="K162" s="83" t="str">
        <x:f>IF($E162="","",SUMIFS('Master_BOM'!$H$4:$H$200,'Master_BOM'!$A$4:$A$200,C162,'Master_BOM'!$C$4:$C$200,E162))</x:f>
      </x:c>
      <x:c r="L162" s="75" t="str">
        <x:f>IF($E162="","",IF(K162="Y",H162*I162,H162*I162*J162))</x:f>
      </x:c>
      <x:c r="M162" s="75" t="str">
        <x:f>IF($E162="","",IFERROR(SUMIFS('Master_BOM'!$J$4:$J$200,'Master_BOM'!$C$4:$C$200,E162),0))</x:f>
      </x:c>
      <x:c r="N162" s="75" t="str">
        <x:f>IF($E162="","",L162+M162)</x:f>
      </x:c>
      <x:c r="O162" s="75" t="str">
        <x:f>IF($E162="","",SUMIFS('Input_Inventory'!$G$4:$G$200,'Input_Inventory'!$C$4:$C$200,E162))</x:f>
      </x:c>
      <x:c r="P162" s="75" t="str">
        <x:f>IF($E162="","",SUMIFS('Input_Inventory'!$L$4:$L$200,'Input_Inventory'!$C$4:$C$200,E162,'Input_Inventory'!$F$4:$F$200,B162))</x:f>
      </x:c>
      <x:c r="Q162" s="75" t="str">
        <x:f>IF($E162="","",O162+P162)</x:f>
      </x:c>
      <x:c r="R162" s="75" t="str">
        <x:f>IF($E162="","",MAX(0,N162-Q162))</x:f>
      </x:c>
      <x:c r="S162" s="75" t="str">
        <x:f>IF($E162="","",SUMIFS('Master_Rules'!$G$4:$G$200,'Master_Rules'!$D$4:$D$200,E162))</x:f>
      </x:c>
      <x:c r="T162" s="75" t="str">
        <x:f>IF($E162="","",IF(S162=0,R162,MAX(S162,CEILING(R162,SUMIFS('Master_Rules'!$H$4:$H$200,'Master_Rules'!$D$4:$D$200,E162)))))</x:f>
      </x:c>
      <x:c r="U162" s="75" t="str">
        <x:f>IF($E162="","",T162*SUMIFS('Master_Rules'!$J$4:$J$200,'Master_Rules'!$D$4:$D$200,E162))</x:f>
      </x:c>
      <x:c r="V162" s="83" t="str">
        <x:f>IF($E162="","",IF(T162&gt;R162,"MOQ 조정",IF(K162="Y","필수품 확인","정상")))</x:f>
      </x:c>
    </x:row>
    <x:row r="163">
      <x:c r="A163" s="71"/>
      <x:c r="B163" s="71"/>
      <x:c r="C163" s="72"/>
      <x:c r="D163" s="72"/>
      <x:c r="E163" s="72"/>
      <x:c r="F163" s="72"/>
      <x:c r="G163" s="72"/>
      <x:c r="H163" s="81" t="str">
        <x:f>IF($E163="","",SUMIFS('Input_OL'!$K$4:$K$200,'Input_OL'!$C$4:$C$200,C163,'Input_OL'!$F$4:$F$200,B163))</x:f>
      </x:c>
      <x:c r="I163" s="81" t="str">
        <x:f>IF($E163="","",SUMIFS('Master_BOM'!$F$4:$F$200,'Master_BOM'!$A$4:$A$200,C163,'Master_BOM'!$C$4:$C$200,E163))</x:f>
      </x:c>
      <x:c r="J163" s="82" t="str">
        <x:f>IF($E163="","",SUMIFS('Master_BOM'!$G$4:$G$200,'Master_BOM'!$A$4:$A$200,C163,'Master_BOM'!$C$4:$C$200,E163))</x:f>
      </x:c>
      <x:c r="K163" s="83" t="str">
        <x:f>IF($E163="","",SUMIFS('Master_BOM'!$H$4:$H$200,'Master_BOM'!$A$4:$A$200,C163,'Master_BOM'!$C$4:$C$200,E163))</x:f>
      </x:c>
      <x:c r="L163" s="75" t="str">
        <x:f>IF($E163="","",IF(K163="Y",H163*I163,H163*I163*J163))</x:f>
      </x:c>
      <x:c r="M163" s="75" t="str">
        <x:f>IF($E163="","",IFERROR(SUMIFS('Master_BOM'!$J$4:$J$200,'Master_BOM'!$C$4:$C$200,E163),0))</x:f>
      </x:c>
      <x:c r="N163" s="75" t="str">
        <x:f>IF($E163="","",L163+M163)</x:f>
      </x:c>
      <x:c r="O163" s="75" t="str">
        <x:f>IF($E163="","",SUMIFS('Input_Inventory'!$G$4:$G$200,'Input_Inventory'!$C$4:$C$200,E163))</x:f>
      </x:c>
      <x:c r="P163" s="75" t="str">
        <x:f>IF($E163="","",SUMIFS('Input_Inventory'!$L$4:$L$200,'Input_Inventory'!$C$4:$C$200,E163,'Input_Inventory'!$F$4:$F$200,B163))</x:f>
      </x:c>
      <x:c r="Q163" s="75" t="str">
        <x:f>IF($E163="","",O163+P163)</x:f>
      </x:c>
      <x:c r="R163" s="75" t="str">
        <x:f>IF($E163="","",MAX(0,N163-Q163))</x:f>
      </x:c>
      <x:c r="S163" s="75" t="str">
        <x:f>IF($E163="","",SUMIFS('Master_Rules'!$G$4:$G$200,'Master_Rules'!$D$4:$D$200,E163))</x:f>
      </x:c>
      <x:c r="T163" s="75" t="str">
        <x:f>IF($E163="","",IF(S163=0,R163,MAX(S163,CEILING(R163,SUMIFS('Master_Rules'!$H$4:$H$200,'Master_Rules'!$D$4:$D$200,E163)))))</x:f>
      </x:c>
      <x:c r="U163" s="75" t="str">
        <x:f>IF($E163="","",T163*SUMIFS('Master_Rules'!$J$4:$J$200,'Master_Rules'!$D$4:$D$200,E163))</x:f>
      </x:c>
      <x:c r="V163" s="83" t="str">
        <x:f>IF($E163="","",IF(T163&gt;R163,"MOQ 조정",IF(K163="Y","필수품 확인","정상")))</x:f>
      </x:c>
    </x:row>
    <x:row r="164">
      <x:c r="A164" s="71"/>
      <x:c r="B164" s="71"/>
      <x:c r="C164" s="72"/>
      <x:c r="D164" s="72"/>
      <x:c r="E164" s="72"/>
      <x:c r="F164" s="72"/>
      <x:c r="G164" s="72"/>
      <x:c r="H164" s="81" t="str">
        <x:f>IF($E164="","",SUMIFS('Input_OL'!$K$4:$K$200,'Input_OL'!$C$4:$C$200,C164,'Input_OL'!$F$4:$F$200,B164))</x:f>
      </x:c>
      <x:c r="I164" s="81" t="str">
        <x:f>IF($E164="","",SUMIFS('Master_BOM'!$F$4:$F$200,'Master_BOM'!$A$4:$A$200,C164,'Master_BOM'!$C$4:$C$200,E164))</x:f>
      </x:c>
      <x:c r="J164" s="82" t="str">
        <x:f>IF($E164="","",SUMIFS('Master_BOM'!$G$4:$G$200,'Master_BOM'!$A$4:$A$200,C164,'Master_BOM'!$C$4:$C$200,E164))</x:f>
      </x:c>
      <x:c r="K164" s="83" t="str">
        <x:f>IF($E164="","",SUMIFS('Master_BOM'!$H$4:$H$200,'Master_BOM'!$A$4:$A$200,C164,'Master_BOM'!$C$4:$C$200,E164))</x:f>
      </x:c>
      <x:c r="L164" s="75" t="str">
        <x:f>IF($E164="","",IF(K164="Y",H164*I164,H164*I164*J164))</x:f>
      </x:c>
      <x:c r="M164" s="75" t="str">
        <x:f>IF($E164="","",IFERROR(SUMIFS('Master_BOM'!$J$4:$J$200,'Master_BOM'!$C$4:$C$200,E164),0))</x:f>
      </x:c>
      <x:c r="N164" s="75" t="str">
        <x:f>IF($E164="","",L164+M164)</x:f>
      </x:c>
      <x:c r="O164" s="75" t="str">
        <x:f>IF($E164="","",SUMIFS('Input_Inventory'!$G$4:$G$200,'Input_Inventory'!$C$4:$C$200,E164))</x:f>
      </x:c>
      <x:c r="P164" s="75" t="str">
        <x:f>IF($E164="","",SUMIFS('Input_Inventory'!$L$4:$L$200,'Input_Inventory'!$C$4:$C$200,E164,'Input_Inventory'!$F$4:$F$200,B164))</x:f>
      </x:c>
      <x:c r="Q164" s="75" t="str">
        <x:f>IF($E164="","",O164+P164)</x:f>
      </x:c>
      <x:c r="R164" s="75" t="str">
        <x:f>IF($E164="","",MAX(0,N164-Q164))</x:f>
      </x:c>
      <x:c r="S164" s="75" t="str">
        <x:f>IF($E164="","",SUMIFS('Master_Rules'!$G$4:$G$200,'Master_Rules'!$D$4:$D$200,E164))</x:f>
      </x:c>
      <x:c r="T164" s="75" t="str">
        <x:f>IF($E164="","",IF(S164=0,R164,MAX(S164,CEILING(R164,SUMIFS('Master_Rules'!$H$4:$H$200,'Master_Rules'!$D$4:$D$200,E164)))))</x:f>
      </x:c>
      <x:c r="U164" s="75" t="str">
        <x:f>IF($E164="","",T164*SUMIFS('Master_Rules'!$J$4:$J$200,'Master_Rules'!$D$4:$D$200,E164))</x:f>
      </x:c>
      <x:c r="V164" s="83" t="str">
        <x:f>IF($E164="","",IF(T164&gt;R164,"MOQ 조정",IF(K164="Y","필수품 확인","정상")))</x:f>
      </x:c>
    </x:row>
    <x:row r="165">
      <x:c r="A165" s="71"/>
      <x:c r="B165" s="71"/>
      <x:c r="C165" s="72"/>
      <x:c r="D165" s="72"/>
      <x:c r="E165" s="72"/>
      <x:c r="F165" s="72"/>
      <x:c r="G165" s="72"/>
      <x:c r="H165" s="81" t="str">
        <x:f>IF($E165="","",SUMIFS('Input_OL'!$K$4:$K$200,'Input_OL'!$C$4:$C$200,C165,'Input_OL'!$F$4:$F$200,B165))</x:f>
      </x:c>
      <x:c r="I165" s="81" t="str">
        <x:f>IF($E165="","",SUMIFS('Master_BOM'!$F$4:$F$200,'Master_BOM'!$A$4:$A$200,C165,'Master_BOM'!$C$4:$C$200,E165))</x:f>
      </x:c>
      <x:c r="J165" s="82" t="str">
        <x:f>IF($E165="","",SUMIFS('Master_BOM'!$G$4:$G$200,'Master_BOM'!$A$4:$A$200,C165,'Master_BOM'!$C$4:$C$200,E165))</x:f>
      </x:c>
      <x:c r="K165" s="83" t="str">
        <x:f>IF($E165="","",SUMIFS('Master_BOM'!$H$4:$H$200,'Master_BOM'!$A$4:$A$200,C165,'Master_BOM'!$C$4:$C$200,E165))</x:f>
      </x:c>
      <x:c r="L165" s="75" t="str">
        <x:f>IF($E165="","",IF(K165="Y",H165*I165,H165*I165*J165))</x:f>
      </x:c>
      <x:c r="M165" s="75" t="str">
        <x:f>IF($E165="","",IFERROR(SUMIFS('Master_BOM'!$J$4:$J$200,'Master_BOM'!$C$4:$C$200,E165),0))</x:f>
      </x:c>
      <x:c r="N165" s="75" t="str">
        <x:f>IF($E165="","",L165+M165)</x:f>
      </x:c>
      <x:c r="O165" s="75" t="str">
        <x:f>IF($E165="","",SUMIFS('Input_Inventory'!$G$4:$G$200,'Input_Inventory'!$C$4:$C$200,E165))</x:f>
      </x:c>
      <x:c r="P165" s="75" t="str">
        <x:f>IF($E165="","",SUMIFS('Input_Inventory'!$L$4:$L$200,'Input_Inventory'!$C$4:$C$200,E165,'Input_Inventory'!$F$4:$F$200,B165))</x:f>
      </x:c>
      <x:c r="Q165" s="75" t="str">
        <x:f>IF($E165="","",O165+P165)</x:f>
      </x:c>
      <x:c r="R165" s="75" t="str">
        <x:f>IF($E165="","",MAX(0,N165-Q165))</x:f>
      </x:c>
      <x:c r="S165" s="75" t="str">
        <x:f>IF($E165="","",SUMIFS('Master_Rules'!$G$4:$G$200,'Master_Rules'!$D$4:$D$200,E165))</x:f>
      </x:c>
      <x:c r="T165" s="75" t="str">
        <x:f>IF($E165="","",IF(S165=0,R165,MAX(S165,CEILING(R165,SUMIFS('Master_Rules'!$H$4:$H$200,'Master_Rules'!$D$4:$D$200,E165)))))</x:f>
      </x:c>
      <x:c r="U165" s="75" t="str">
        <x:f>IF($E165="","",T165*SUMIFS('Master_Rules'!$J$4:$J$200,'Master_Rules'!$D$4:$D$200,E165))</x:f>
      </x:c>
      <x:c r="V165" s="83" t="str">
        <x:f>IF($E165="","",IF(T165&gt;R165,"MOQ 조정",IF(K165="Y","필수품 확인","정상")))</x:f>
      </x:c>
    </x:row>
    <x:row r="166">
      <x:c r="A166" s="71"/>
      <x:c r="B166" s="71"/>
      <x:c r="C166" s="72"/>
      <x:c r="D166" s="72"/>
      <x:c r="E166" s="72"/>
      <x:c r="F166" s="72"/>
      <x:c r="G166" s="72"/>
      <x:c r="H166" s="81" t="str">
        <x:f>IF($E166="","",SUMIFS('Input_OL'!$K$4:$K$200,'Input_OL'!$C$4:$C$200,C166,'Input_OL'!$F$4:$F$200,B166))</x:f>
      </x:c>
      <x:c r="I166" s="81" t="str">
        <x:f>IF($E166="","",SUMIFS('Master_BOM'!$F$4:$F$200,'Master_BOM'!$A$4:$A$200,C166,'Master_BOM'!$C$4:$C$200,E166))</x:f>
      </x:c>
      <x:c r="J166" s="82" t="str">
        <x:f>IF($E166="","",SUMIFS('Master_BOM'!$G$4:$G$200,'Master_BOM'!$A$4:$A$200,C166,'Master_BOM'!$C$4:$C$200,E166))</x:f>
      </x:c>
      <x:c r="K166" s="83" t="str">
        <x:f>IF($E166="","",SUMIFS('Master_BOM'!$H$4:$H$200,'Master_BOM'!$A$4:$A$200,C166,'Master_BOM'!$C$4:$C$200,E166))</x:f>
      </x:c>
      <x:c r="L166" s="75" t="str">
        <x:f>IF($E166="","",IF(K166="Y",H166*I166,H166*I166*J166))</x:f>
      </x:c>
      <x:c r="M166" s="75" t="str">
        <x:f>IF($E166="","",IFERROR(SUMIFS('Master_BOM'!$J$4:$J$200,'Master_BOM'!$C$4:$C$200,E166),0))</x:f>
      </x:c>
      <x:c r="N166" s="75" t="str">
        <x:f>IF($E166="","",L166+M166)</x:f>
      </x:c>
      <x:c r="O166" s="75" t="str">
        <x:f>IF($E166="","",SUMIFS('Input_Inventory'!$G$4:$G$200,'Input_Inventory'!$C$4:$C$200,E166))</x:f>
      </x:c>
      <x:c r="P166" s="75" t="str">
        <x:f>IF($E166="","",SUMIFS('Input_Inventory'!$L$4:$L$200,'Input_Inventory'!$C$4:$C$200,E166,'Input_Inventory'!$F$4:$F$200,B166))</x:f>
      </x:c>
      <x:c r="Q166" s="75" t="str">
        <x:f>IF($E166="","",O166+P166)</x:f>
      </x:c>
      <x:c r="R166" s="75" t="str">
        <x:f>IF($E166="","",MAX(0,N166-Q166))</x:f>
      </x:c>
      <x:c r="S166" s="75" t="str">
        <x:f>IF($E166="","",SUMIFS('Master_Rules'!$G$4:$G$200,'Master_Rules'!$D$4:$D$200,E166))</x:f>
      </x:c>
      <x:c r="T166" s="75" t="str">
        <x:f>IF($E166="","",IF(S166=0,R166,MAX(S166,CEILING(R166,SUMIFS('Master_Rules'!$H$4:$H$200,'Master_Rules'!$D$4:$D$200,E166)))))</x:f>
      </x:c>
      <x:c r="U166" s="75" t="str">
        <x:f>IF($E166="","",T166*SUMIFS('Master_Rules'!$J$4:$J$200,'Master_Rules'!$D$4:$D$200,E166))</x:f>
      </x:c>
      <x:c r="V166" s="83" t="str">
        <x:f>IF($E166="","",IF(T166&gt;R166,"MOQ 조정",IF(K166="Y","필수품 확인","정상")))</x:f>
      </x:c>
    </x:row>
    <x:row r="167">
      <x:c r="A167" s="71"/>
      <x:c r="B167" s="71"/>
      <x:c r="C167" s="72"/>
      <x:c r="D167" s="72"/>
      <x:c r="E167" s="72"/>
      <x:c r="F167" s="72"/>
      <x:c r="G167" s="72"/>
      <x:c r="H167" s="81" t="str">
        <x:f>IF($E167="","",SUMIFS('Input_OL'!$K$4:$K$200,'Input_OL'!$C$4:$C$200,C167,'Input_OL'!$F$4:$F$200,B167))</x:f>
      </x:c>
      <x:c r="I167" s="81" t="str">
        <x:f>IF($E167="","",SUMIFS('Master_BOM'!$F$4:$F$200,'Master_BOM'!$A$4:$A$200,C167,'Master_BOM'!$C$4:$C$200,E167))</x:f>
      </x:c>
      <x:c r="J167" s="82" t="str">
        <x:f>IF($E167="","",SUMIFS('Master_BOM'!$G$4:$G$200,'Master_BOM'!$A$4:$A$200,C167,'Master_BOM'!$C$4:$C$200,E167))</x:f>
      </x:c>
      <x:c r="K167" s="83" t="str">
        <x:f>IF($E167="","",SUMIFS('Master_BOM'!$H$4:$H$200,'Master_BOM'!$A$4:$A$200,C167,'Master_BOM'!$C$4:$C$200,E167))</x:f>
      </x:c>
      <x:c r="L167" s="75" t="str">
        <x:f>IF($E167="","",IF(K167="Y",H167*I167,H167*I167*J167))</x:f>
      </x:c>
      <x:c r="M167" s="75" t="str">
        <x:f>IF($E167="","",IFERROR(SUMIFS('Master_BOM'!$J$4:$J$200,'Master_BOM'!$C$4:$C$200,E167),0))</x:f>
      </x:c>
      <x:c r="N167" s="75" t="str">
        <x:f>IF($E167="","",L167+M167)</x:f>
      </x:c>
      <x:c r="O167" s="75" t="str">
        <x:f>IF($E167="","",SUMIFS('Input_Inventory'!$G$4:$G$200,'Input_Inventory'!$C$4:$C$200,E167))</x:f>
      </x:c>
      <x:c r="P167" s="75" t="str">
        <x:f>IF($E167="","",SUMIFS('Input_Inventory'!$L$4:$L$200,'Input_Inventory'!$C$4:$C$200,E167,'Input_Inventory'!$F$4:$F$200,B167))</x:f>
      </x:c>
      <x:c r="Q167" s="75" t="str">
        <x:f>IF($E167="","",O167+P167)</x:f>
      </x:c>
      <x:c r="R167" s="75" t="str">
        <x:f>IF($E167="","",MAX(0,N167-Q167))</x:f>
      </x:c>
      <x:c r="S167" s="75" t="str">
        <x:f>IF($E167="","",SUMIFS('Master_Rules'!$G$4:$G$200,'Master_Rules'!$D$4:$D$200,E167))</x:f>
      </x:c>
      <x:c r="T167" s="75" t="str">
        <x:f>IF($E167="","",IF(S167=0,R167,MAX(S167,CEILING(R167,SUMIFS('Master_Rules'!$H$4:$H$200,'Master_Rules'!$D$4:$D$200,E167)))))</x:f>
      </x:c>
      <x:c r="U167" s="75" t="str">
        <x:f>IF($E167="","",T167*SUMIFS('Master_Rules'!$J$4:$J$200,'Master_Rules'!$D$4:$D$200,E167))</x:f>
      </x:c>
      <x:c r="V167" s="83" t="str">
        <x:f>IF($E167="","",IF(T167&gt;R167,"MOQ 조정",IF(K167="Y","필수품 확인","정상")))</x:f>
      </x:c>
    </x:row>
    <x:row r="168">
      <x:c r="A168" s="71"/>
      <x:c r="B168" s="71"/>
      <x:c r="C168" s="72"/>
      <x:c r="D168" s="72"/>
      <x:c r="E168" s="72"/>
      <x:c r="F168" s="72"/>
      <x:c r="G168" s="72"/>
      <x:c r="H168" s="81" t="str">
        <x:f>IF($E168="","",SUMIFS('Input_OL'!$K$4:$K$200,'Input_OL'!$C$4:$C$200,C168,'Input_OL'!$F$4:$F$200,B168))</x:f>
      </x:c>
      <x:c r="I168" s="81" t="str">
        <x:f>IF($E168="","",SUMIFS('Master_BOM'!$F$4:$F$200,'Master_BOM'!$A$4:$A$200,C168,'Master_BOM'!$C$4:$C$200,E168))</x:f>
      </x:c>
      <x:c r="J168" s="82" t="str">
        <x:f>IF($E168="","",SUMIFS('Master_BOM'!$G$4:$G$200,'Master_BOM'!$A$4:$A$200,C168,'Master_BOM'!$C$4:$C$200,E168))</x:f>
      </x:c>
      <x:c r="K168" s="83" t="str">
        <x:f>IF($E168="","",SUMIFS('Master_BOM'!$H$4:$H$200,'Master_BOM'!$A$4:$A$200,C168,'Master_BOM'!$C$4:$C$200,E168))</x:f>
      </x:c>
      <x:c r="L168" s="75" t="str">
        <x:f>IF($E168="","",IF(K168="Y",H168*I168,H168*I168*J168))</x:f>
      </x:c>
      <x:c r="M168" s="75" t="str">
        <x:f>IF($E168="","",IFERROR(SUMIFS('Master_BOM'!$J$4:$J$200,'Master_BOM'!$C$4:$C$200,E168),0))</x:f>
      </x:c>
      <x:c r="N168" s="75" t="str">
        <x:f>IF($E168="","",L168+M168)</x:f>
      </x:c>
      <x:c r="O168" s="75" t="str">
        <x:f>IF($E168="","",SUMIFS('Input_Inventory'!$G$4:$G$200,'Input_Inventory'!$C$4:$C$200,E168))</x:f>
      </x:c>
      <x:c r="P168" s="75" t="str">
        <x:f>IF($E168="","",SUMIFS('Input_Inventory'!$L$4:$L$200,'Input_Inventory'!$C$4:$C$200,E168,'Input_Inventory'!$F$4:$F$200,B168))</x:f>
      </x:c>
      <x:c r="Q168" s="75" t="str">
        <x:f>IF($E168="","",O168+P168)</x:f>
      </x:c>
      <x:c r="R168" s="75" t="str">
        <x:f>IF($E168="","",MAX(0,N168-Q168))</x:f>
      </x:c>
      <x:c r="S168" s="75" t="str">
        <x:f>IF($E168="","",SUMIFS('Master_Rules'!$G$4:$G$200,'Master_Rules'!$D$4:$D$200,E168))</x:f>
      </x:c>
      <x:c r="T168" s="75" t="str">
        <x:f>IF($E168="","",IF(S168=0,R168,MAX(S168,CEILING(R168,SUMIFS('Master_Rules'!$H$4:$H$200,'Master_Rules'!$D$4:$D$200,E168)))))</x:f>
      </x:c>
      <x:c r="U168" s="75" t="str">
        <x:f>IF($E168="","",T168*SUMIFS('Master_Rules'!$J$4:$J$200,'Master_Rules'!$D$4:$D$200,E168))</x:f>
      </x:c>
      <x:c r="V168" s="83" t="str">
        <x:f>IF($E168="","",IF(T168&gt;R168,"MOQ 조정",IF(K168="Y","필수품 확인","정상")))</x:f>
      </x:c>
    </x:row>
    <x:row r="169">
      <x:c r="A169" s="71"/>
      <x:c r="B169" s="71"/>
      <x:c r="C169" s="72"/>
      <x:c r="D169" s="72"/>
      <x:c r="E169" s="72"/>
      <x:c r="F169" s="72"/>
      <x:c r="G169" s="72"/>
      <x:c r="H169" s="81" t="str">
        <x:f>IF($E169="","",SUMIFS('Input_OL'!$K$4:$K$200,'Input_OL'!$C$4:$C$200,C169,'Input_OL'!$F$4:$F$200,B169))</x:f>
      </x:c>
      <x:c r="I169" s="81" t="str">
        <x:f>IF($E169="","",SUMIFS('Master_BOM'!$F$4:$F$200,'Master_BOM'!$A$4:$A$200,C169,'Master_BOM'!$C$4:$C$200,E169))</x:f>
      </x:c>
      <x:c r="J169" s="82" t="str">
        <x:f>IF($E169="","",SUMIFS('Master_BOM'!$G$4:$G$200,'Master_BOM'!$A$4:$A$200,C169,'Master_BOM'!$C$4:$C$200,E169))</x:f>
      </x:c>
      <x:c r="K169" s="83" t="str">
        <x:f>IF($E169="","",SUMIFS('Master_BOM'!$H$4:$H$200,'Master_BOM'!$A$4:$A$200,C169,'Master_BOM'!$C$4:$C$200,E169))</x:f>
      </x:c>
      <x:c r="L169" s="75" t="str">
        <x:f>IF($E169="","",IF(K169="Y",H169*I169,H169*I169*J169))</x:f>
      </x:c>
      <x:c r="M169" s="75" t="str">
        <x:f>IF($E169="","",IFERROR(SUMIFS('Master_BOM'!$J$4:$J$200,'Master_BOM'!$C$4:$C$200,E169),0))</x:f>
      </x:c>
      <x:c r="N169" s="75" t="str">
        <x:f>IF($E169="","",L169+M169)</x:f>
      </x:c>
      <x:c r="O169" s="75" t="str">
        <x:f>IF($E169="","",SUMIFS('Input_Inventory'!$G$4:$G$200,'Input_Inventory'!$C$4:$C$200,E169))</x:f>
      </x:c>
      <x:c r="P169" s="75" t="str">
        <x:f>IF($E169="","",SUMIFS('Input_Inventory'!$L$4:$L$200,'Input_Inventory'!$C$4:$C$200,E169,'Input_Inventory'!$F$4:$F$200,B169))</x:f>
      </x:c>
      <x:c r="Q169" s="75" t="str">
        <x:f>IF($E169="","",O169+P169)</x:f>
      </x:c>
      <x:c r="R169" s="75" t="str">
        <x:f>IF($E169="","",MAX(0,N169-Q169))</x:f>
      </x:c>
      <x:c r="S169" s="75" t="str">
        <x:f>IF($E169="","",SUMIFS('Master_Rules'!$G$4:$G$200,'Master_Rules'!$D$4:$D$200,E169))</x:f>
      </x:c>
      <x:c r="T169" s="75" t="str">
        <x:f>IF($E169="","",IF(S169=0,R169,MAX(S169,CEILING(R169,SUMIFS('Master_Rules'!$H$4:$H$200,'Master_Rules'!$D$4:$D$200,E169)))))</x:f>
      </x:c>
      <x:c r="U169" s="75" t="str">
        <x:f>IF($E169="","",T169*SUMIFS('Master_Rules'!$J$4:$J$200,'Master_Rules'!$D$4:$D$200,E169))</x:f>
      </x:c>
      <x:c r="V169" s="83" t="str">
        <x:f>IF($E169="","",IF(T169&gt;R169,"MOQ 조정",IF(K169="Y","필수품 확인","정상")))</x:f>
      </x:c>
    </x:row>
    <x:row r="170">
      <x:c r="A170" s="71"/>
      <x:c r="B170" s="71"/>
      <x:c r="C170" s="72"/>
      <x:c r="D170" s="72"/>
      <x:c r="E170" s="72"/>
      <x:c r="F170" s="72"/>
      <x:c r="G170" s="72"/>
      <x:c r="H170" s="81" t="str">
        <x:f>IF($E170="","",SUMIFS('Input_OL'!$K$4:$K$200,'Input_OL'!$C$4:$C$200,C170,'Input_OL'!$F$4:$F$200,B170))</x:f>
      </x:c>
      <x:c r="I170" s="81" t="str">
        <x:f>IF($E170="","",SUMIFS('Master_BOM'!$F$4:$F$200,'Master_BOM'!$A$4:$A$200,C170,'Master_BOM'!$C$4:$C$200,E170))</x:f>
      </x:c>
      <x:c r="J170" s="82" t="str">
        <x:f>IF($E170="","",SUMIFS('Master_BOM'!$G$4:$G$200,'Master_BOM'!$A$4:$A$200,C170,'Master_BOM'!$C$4:$C$200,E170))</x:f>
      </x:c>
      <x:c r="K170" s="83" t="str">
        <x:f>IF($E170="","",SUMIFS('Master_BOM'!$H$4:$H$200,'Master_BOM'!$A$4:$A$200,C170,'Master_BOM'!$C$4:$C$200,E170))</x:f>
      </x:c>
      <x:c r="L170" s="75" t="str">
        <x:f>IF($E170="","",IF(K170="Y",H170*I170,H170*I170*J170))</x:f>
      </x:c>
      <x:c r="M170" s="75" t="str">
        <x:f>IF($E170="","",IFERROR(SUMIFS('Master_BOM'!$J$4:$J$200,'Master_BOM'!$C$4:$C$200,E170),0))</x:f>
      </x:c>
      <x:c r="N170" s="75" t="str">
        <x:f>IF($E170="","",L170+M170)</x:f>
      </x:c>
      <x:c r="O170" s="75" t="str">
        <x:f>IF($E170="","",SUMIFS('Input_Inventory'!$G$4:$G$200,'Input_Inventory'!$C$4:$C$200,E170))</x:f>
      </x:c>
      <x:c r="P170" s="75" t="str">
        <x:f>IF($E170="","",SUMIFS('Input_Inventory'!$L$4:$L$200,'Input_Inventory'!$C$4:$C$200,E170,'Input_Inventory'!$F$4:$F$200,B170))</x:f>
      </x:c>
      <x:c r="Q170" s="75" t="str">
        <x:f>IF($E170="","",O170+P170)</x:f>
      </x:c>
      <x:c r="R170" s="75" t="str">
        <x:f>IF($E170="","",MAX(0,N170-Q170))</x:f>
      </x:c>
      <x:c r="S170" s="75" t="str">
        <x:f>IF($E170="","",SUMIFS('Master_Rules'!$G$4:$G$200,'Master_Rules'!$D$4:$D$200,E170))</x:f>
      </x:c>
      <x:c r="T170" s="75" t="str">
        <x:f>IF($E170="","",IF(S170=0,R170,MAX(S170,CEILING(R170,SUMIFS('Master_Rules'!$H$4:$H$200,'Master_Rules'!$D$4:$D$200,E170)))))</x:f>
      </x:c>
      <x:c r="U170" s="75" t="str">
        <x:f>IF($E170="","",T170*SUMIFS('Master_Rules'!$J$4:$J$200,'Master_Rules'!$D$4:$D$200,E170))</x:f>
      </x:c>
      <x:c r="V170" s="83" t="str">
        <x:f>IF($E170="","",IF(T170&gt;R170,"MOQ 조정",IF(K170="Y","필수품 확인","정상")))</x:f>
      </x:c>
    </x:row>
    <x:row r="171">
      <x:c r="A171" s="71"/>
      <x:c r="B171" s="71"/>
      <x:c r="C171" s="72"/>
      <x:c r="D171" s="72"/>
      <x:c r="E171" s="72"/>
      <x:c r="F171" s="72"/>
      <x:c r="G171" s="72"/>
      <x:c r="H171" s="81" t="str">
        <x:f>IF($E171="","",SUMIFS('Input_OL'!$K$4:$K$200,'Input_OL'!$C$4:$C$200,C171,'Input_OL'!$F$4:$F$200,B171))</x:f>
      </x:c>
      <x:c r="I171" s="81" t="str">
        <x:f>IF($E171="","",SUMIFS('Master_BOM'!$F$4:$F$200,'Master_BOM'!$A$4:$A$200,C171,'Master_BOM'!$C$4:$C$200,E171))</x:f>
      </x:c>
      <x:c r="J171" s="82" t="str">
        <x:f>IF($E171="","",SUMIFS('Master_BOM'!$G$4:$G$200,'Master_BOM'!$A$4:$A$200,C171,'Master_BOM'!$C$4:$C$200,E171))</x:f>
      </x:c>
      <x:c r="K171" s="83" t="str">
        <x:f>IF($E171="","",SUMIFS('Master_BOM'!$H$4:$H$200,'Master_BOM'!$A$4:$A$200,C171,'Master_BOM'!$C$4:$C$200,E171))</x:f>
      </x:c>
      <x:c r="L171" s="75" t="str">
        <x:f>IF($E171="","",IF(K171="Y",H171*I171,H171*I171*J171))</x:f>
      </x:c>
      <x:c r="M171" s="75" t="str">
        <x:f>IF($E171="","",IFERROR(SUMIFS('Master_BOM'!$J$4:$J$200,'Master_BOM'!$C$4:$C$200,E171),0))</x:f>
      </x:c>
      <x:c r="N171" s="75" t="str">
        <x:f>IF($E171="","",L171+M171)</x:f>
      </x:c>
      <x:c r="O171" s="75" t="str">
        <x:f>IF($E171="","",SUMIFS('Input_Inventory'!$G$4:$G$200,'Input_Inventory'!$C$4:$C$200,E171))</x:f>
      </x:c>
      <x:c r="P171" s="75" t="str">
        <x:f>IF($E171="","",SUMIFS('Input_Inventory'!$L$4:$L$200,'Input_Inventory'!$C$4:$C$200,E171,'Input_Inventory'!$F$4:$F$200,B171))</x:f>
      </x:c>
      <x:c r="Q171" s="75" t="str">
        <x:f>IF($E171="","",O171+P171)</x:f>
      </x:c>
      <x:c r="R171" s="75" t="str">
        <x:f>IF($E171="","",MAX(0,N171-Q171))</x:f>
      </x:c>
      <x:c r="S171" s="75" t="str">
        <x:f>IF($E171="","",SUMIFS('Master_Rules'!$G$4:$G$200,'Master_Rules'!$D$4:$D$200,E171))</x:f>
      </x:c>
      <x:c r="T171" s="75" t="str">
        <x:f>IF($E171="","",IF(S171=0,R171,MAX(S171,CEILING(R171,SUMIFS('Master_Rules'!$H$4:$H$200,'Master_Rules'!$D$4:$D$200,E171)))))</x:f>
      </x:c>
      <x:c r="U171" s="75" t="str">
        <x:f>IF($E171="","",T171*SUMIFS('Master_Rules'!$J$4:$J$200,'Master_Rules'!$D$4:$D$200,E171))</x:f>
      </x:c>
      <x:c r="V171" s="83" t="str">
        <x:f>IF($E171="","",IF(T171&gt;R171,"MOQ 조정",IF(K171="Y","필수품 확인","정상")))</x:f>
      </x:c>
    </x:row>
    <x:row r="172">
      <x:c r="A172" s="71"/>
      <x:c r="B172" s="71"/>
      <x:c r="C172" s="72"/>
      <x:c r="D172" s="72"/>
      <x:c r="E172" s="72"/>
      <x:c r="F172" s="72"/>
      <x:c r="G172" s="72"/>
      <x:c r="H172" s="81" t="str">
        <x:f>IF($E172="","",SUMIFS('Input_OL'!$K$4:$K$200,'Input_OL'!$C$4:$C$200,C172,'Input_OL'!$F$4:$F$200,B172))</x:f>
      </x:c>
      <x:c r="I172" s="81" t="str">
        <x:f>IF($E172="","",SUMIFS('Master_BOM'!$F$4:$F$200,'Master_BOM'!$A$4:$A$200,C172,'Master_BOM'!$C$4:$C$200,E172))</x:f>
      </x:c>
      <x:c r="J172" s="82" t="str">
        <x:f>IF($E172="","",SUMIFS('Master_BOM'!$G$4:$G$200,'Master_BOM'!$A$4:$A$200,C172,'Master_BOM'!$C$4:$C$200,E172))</x:f>
      </x:c>
      <x:c r="K172" s="83" t="str">
        <x:f>IF($E172="","",SUMIFS('Master_BOM'!$H$4:$H$200,'Master_BOM'!$A$4:$A$200,C172,'Master_BOM'!$C$4:$C$200,E172))</x:f>
      </x:c>
      <x:c r="L172" s="75" t="str">
        <x:f>IF($E172="","",IF(K172="Y",H172*I172,H172*I172*J172))</x:f>
      </x:c>
      <x:c r="M172" s="75" t="str">
        <x:f>IF($E172="","",IFERROR(SUMIFS('Master_BOM'!$J$4:$J$200,'Master_BOM'!$C$4:$C$200,E172),0))</x:f>
      </x:c>
      <x:c r="N172" s="75" t="str">
        <x:f>IF($E172="","",L172+M172)</x:f>
      </x:c>
      <x:c r="O172" s="75" t="str">
        <x:f>IF($E172="","",SUMIFS('Input_Inventory'!$G$4:$G$200,'Input_Inventory'!$C$4:$C$200,E172))</x:f>
      </x:c>
      <x:c r="P172" s="75" t="str">
        <x:f>IF($E172="","",SUMIFS('Input_Inventory'!$L$4:$L$200,'Input_Inventory'!$C$4:$C$200,E172,'Input_Inventory'!$F$4:$F$200,B172))</x:f>
      </x:c>
      <x:c r="Q172" s="75" t="str">
        <x:f>IF($E172="","",O172+P172)</x:f>
      </x:c>
      <x:c r="R172" s="75" t="str">
        <x:f>IF($E172="","",MAX(0,N172-Q172))</x:f>
      </x:c>
      <x:c r="S172" s="75" t="str">
        <x:f>IF($E172="","",SUMIFS('Master_Rules'!$G$4:$G$200,'Master_Rules'!$D$4:$D$200,E172))</x:f>
      </x:c>
      <x:c r="T172" s="75" t="str">
        <x:f>IF($E172="","",IF(S172=0,R172,MAX(S172,CEILING(R172,SUMIFS('Master_Rules'!$H$4:$H$200,'Master_Rules'!$D$4:$D$200,E172)))))</x:f>
      </x:c>
      <x:c r="U172" s="75" t="str">
        <x:f>IF($E172="","",T172*SUMIFS('Master_Rules'!$J$4:$J$200,'Master_Rules'!$D$4:$D$200,E172))</x:f>
      </x:c>
      <x:c r="V172" s="83" t="str">
        <x:f>IF($E172="","",IF(T172&gt;R172,"MOQ 조정",IF(K172="Y","필수품 확인","정상")))</x:f>
      </x:c>
    </x:row>
    <x:row r="173">
      <x:c r="A173" s="71"/>
      <x:c r="B173" s="71"/>
      <x:c r="C173" s="72"/>
      <x:c r="D173" s="72"/>
      <x:c r="E173" s="72"/>
      <x:c r="F173" s="72"/>
      <x:c r="G173" s="72"/>
      <x:c r="H173" s="81" t="str">
        <x:f>IF($E173="","",SUMIFS('Input_OL'!$K$4:$K$200,'Input_OL'!$C$4:$C$200,C173,'Input_OL'!$F$4:$F$200,B173))</x:f>
      </x:c>
      <x:c r="I173" s="81" t="str">
        <x:f>IF($E173="","",SUMIFS('Master_BOM'!$F$4:$F$200,'Master_BOM'!$A$4:$A$200,C173,'Master_BOM'!$C$4:$C$200,E173))</x:f>
      </x:c>
      <x:c r="J173" s="82" t="str">
        <x:f>IF($E173="","",SUMIFS('Master_BOM'!$G$4:$G$200,'Master_BOM'!$A$4:$A$200,C173,'Master_BOM'!$C$4:$C$200,E173))</x:f>
      </x:c>
      <x:c r="K173" s="83" t="str">
        <x:f>IF($E173="","",SUMIFS('Master_BOM'!$H$4:$H$200,'Master_BOM'!$A$4:$A$200,C173,'Master_BOM'!$C$4:$C$200,E173))</x:f>
      </x:c>
      <x:c r="L173" s="75" t="str">
        <x:f>IF($E173="","",IF(K173="Y",H173*I173,H173*I173*J173))</x:f>
      </x:c>
      <x:c r="M173" s="75" t="str">
        <x:f>IF($E173="","",IFERROR(SUMIFS('Master_BOM'!$J$4:$J$200,'Master_BOM'!$C$4:$C$200,E173),0))</x:f>
      </x:c>
      <x:c r="N173" s="75" t="str">
        <x:f>IF($E173="","",L173+M173)</x:f>
      </x:c>
      <x:c r="O173" s="75" t="str">
        <x:f>IF($E173="","",SUMIFS('Input_Inventory'!$G$4:$G$200,'Input_Inventory'!$C$4:$C$200,E173))</x:f>
      </x:c>
      <x:c r="P173" s="75" t="str">
        <x:f>IF($E173="","",SUMIFS('Input_Inventory'!$L$4:$L$200,'Input_Inventory'!$C$4:$C$200,E173,'Input_Inventory'!$F$4:$F$200,B173))</x:f>
      </x:c>
      <x:c r="Q173" s="75" t="str">
        <x:f>IF($E173="","",O173+P173)</x:f>
      </x:c>
      <x:c r="R173" s="75" t="str">
        <x:f>IF($E173="","",MAX(0,N173-Q173))</x:f>
      </x:c>
      <x:c r="S173" s="75" t="str">
        <x:f>IF($E173="","",SUMIFS('Master_Rules'!$G$4:$G$200,'Master_Rules'!$D$4:$D$200,E173))</x:f>
      </x:c>
      <x:c r="T173" s="75" t="str">
        <x:f>IF($E173="","",IF(S173=0,R173,MAX(S173,CEILING(R173,SUMIFS('Master_Rules'!$H$4:$H$200,'Master_Rules'!$D$4:$D$200,E173)))))</x:f>
      </x:c>
      <x:c r="U173" s="75" t="str">
        <x:f>IF($E173="","",T173*SUMIFS('Master_Rules'!$J$4:$J$200,'Master_Rules'!$D$4:$D$200,E173))</x:f>
      </x:c>
      <x:c r="V173" s="83" t="str">
        <x:f>IF($E173="","",IF(T173&gt;R173,"MOQ 조정",IF(K173="Y","필수품 확인","정상")))</x:f>
      </x:c>
    </x:row>
    <x:row r="174">
      <x:c r="A174" s="71"/>
      <x:c r="B174" s="71"/>
      <x:c r="C174" s="72"/>
      <x:c r="D174" s="72"/>
      <x:c r="E174" s="72"/>
      <x:c r="F174" s="72"/>
      <x:c r="G174" s="72"/>
      <x:c r="H174" s="81" t="str">
        <x:f>IF($E174="","",SUMIFS('Input_OL'!$K$4:$K$200,'Input_OL'!$C$4:$C$200,C174,'Input_OL'!$F$4:$F$200,B174))</x:f>
      </x:c>
      <x:c r="I174" s="81" t="str">
        <x:f>IF($E174="","",SUMIFS('Master_BOM'!$F$4:$F$200,'Master_BOM'!$A$4:$A$200,C174,'Master_BOM'!$C$4:$C$200,E174))</x:f>
      </x:c>
      <x:c r="J174" s="82" t="str">
        <x:f>IF($E174="","",SUMIFS('Master_BOM'!$G$4:$G$200,'Master_BOM'!$A$4:$A$200,C174,'Master_BOM'!$C$4:$C$200,E174))</x:f>
      </x:c>
      <x:c r="K174" s="83" t="str">
        <x:f>IF($E174="","",SUMIFS('Master_BOM'!$H$4:$H$200,'Master_BOM'!$A$4:$A$200,C174,'Master_BOM'!$C$4:$C$200,E174))</x:f>
      </x:c>
      <x:c r="L174" s="75" t="str">
        <x:f>IF($E174="","",IF(K174="Y",H174*I174,H174*I174*J174))</x:f>
      </x:c>
      <x:c r="M174" s="75" t="str">
        <x:f>IF($E174="","",IFERROR(SUMIFS('Master_BOM'!$J$4:$J$200,'Master_BOM'!$C$4:$C$200,E174),0))</x:f>
      </x:c>
      <x:c r="N174" s="75" t="str">
        <x:f>IF($E174="","",L174+M174)</x:f>
      </x:c>
      <x:c r="O174" s="75" t="str">
        <x:f>IF($E174="","",SUMIFS('Input_Inventory'!$G$4:$G$200,'Input_Inventory'!$C$4:$C$200,E174))</x:f>
      </x:c>
      <x:c r="P174" s="75" t="str">
        <x:f>IF($E174="","",SUMIFS('Input_Inventory'!$L$4:$L$200,'Input_Inventory'!$C$4:$C$200,E174,'Input_Inventory'!$F$4:$F$200,B174))</x:f>
      </x:c>
      <x:c r="Q174" s="75" t="str">
        <x:f>IF($E174="","",O174+P174)</x:f>
      </x:c>
      <x:c r="R174" s="75" t="str">
        <x:f>IF($E174="","",MAX(0,N174-Q174))</x:f>
      </x:c>
      <x:c r="S174" s="75" t="str">
        <x:f>IF($E174="","",SUMIFS('Master_Rules'!$G$4:$G$200,'Master_Rules'!$D$4:$D$200,E174))</x:f>
      </x:c>
      <x:c r="T174" s="75" t="str">
        <x:f>IF($E174="","",IF(S174=0,R174,MAX(S174,CEILING(R174,SUMIFS('Master_Rules'!$H$4:$H$200,'Master_Rules'!$D$4:$D$200,E174)))))</x:f>
      </x:c>
      <x:c r="U174" s="75" t="str">
        <x:f>IF($E174="","",T174*SUMIFS('Master_Rules'!$J$4:$J$200,'Master_Rules'!$D$4:$D$200,E174))</x:f>
      </x:c>
      <x:c r="V174" s="83" t="str">
        <x:f>IF($E174="","",IF(T174&gt;R174,"MOQ 조정",IF(K174="Y","필수품 확인","정상")))</x:f>
      </x:c>
    </x:row>
    <x:row r="175">
      <x:c r="A175" s="71"/>
      <x:c r="B175" s="71"/>
      <x:c r="C175" s="72"/>
      <x:c r="D175" s="72"/>
      <x:c r="E175" s="72"/>
      <x:c r="F175" s="72"/>
      <x:c r="G175" s="72"/>
      <x:c r="H175" s="81" t="str">
        <x:f>IF($E175="","",SUMIFS('Input_OL'!$K$4:$K$200,'Input_OL'!$C$4:$C$200,C175,'Input_OL'!$F$4:$F$200,B175))</x:f>
      </x:c>
      <x:c r="I175" s="81" t="str">
        <x:f>IF($E175="","",SUMIFS('Master_BOM'!$F$4:$F$200,'Master_BOM'!$A$4:$A$200,C175,'Master_BOM'!$C$4:$C$200,E175))</x:f>
      </x:c>
      <x:c r="J175" s="82" t="str">
        <x:f>IF($E175="","",SUMIFS('Master_BOM'!$G$4:$G$200,'Master_BOM'!$A$4:$A$200,C175,'Master_BOM'!$C$4:$C$200,E175))</x:f>
      </x:c>
      <x:c r="K175" s="83" t="str">
        <x:f>IF($E175="","",SUMIFS('Master_BOM'!$H$4:$H$200,'Master_BOM'!$A$4:$A$200,C175,'Master_BOM'!$C$4:$C$200,E175))</x:f>
      </x:c>
      <x:c r="L175" s="75" t="str">
        <x:f>IF($E175="","",IF(K175="Y",H175*I175,H175*I175*J175))</x:f>
      </x:c>
      <x:c r="M175" s="75" t="str">
        <x:f>IF($E175="","",IFERROR(SUMIFS('Master_BOM'!$J$4:$J$200,'Master_BOM'!$C$4:$C$200,E175),0))</x:f>
      </x:c>
      <x:c r="N175" s="75" t="str">
        <x:f>IF($E175="","",L175+M175)</x:f>
      </x:c>
      <x:c r="O175" s="75" t="str">
        <x:f>IF($E175="","",SUMIFS('Input_Inventory'!$G$4:$G$200,'Input_Inventory'!$C$4:$C$200,E175))</x:f>
      </x:c>
      <x:c r="P175" s="75" t="str">
        <x:f>IF($E175="","",SUMIFS('Input_Inventory'!$L$4:$L$200,'Input_Inventory'!$C$4:$C$200,E175,'Input_Inventory'!$F$4:$F$200,B175))</x:f>
      </x:c>
      <x:c r="Q175" s="75" t="str">
        <x:f>IF($E175="","",O175+P175)</x:f>
      </x:c>
      <x:c r="R175" s="75" t="str">
        <x:f>IF($E175="","",MAX(0,N175-Q175))</x:f>
      </x:c>
      <x:c r="S175" s="75" t="str">
        <x:f>IF($E175="","",SUMIFS('Master_Rules'!$G$4:$G$200,'Master_Rules'!$D$4:$D$200,E175))</x:f>
      </x:c>
      <x:c r="T175" s="75" t="str">
        <x:f>IF($E175="","",IF(S175=0,R175,MAX(S175,CEILING(R175,SUMIFS('Master_Rules'!$H$4:$H$200,'Master_Rules'!$D$4:$D$200,E175)))))</x:f>
      </x:c>
      <x:c r="U175" s="75" t="str">
        <x:f>IF($E175="","",T175*SUMIFS('Master_Rules'!$J$4:$J$200,'Master_Rules'!$D$4:$D$200,E175))</x:f>
      </x:c>
      <x:c r="V175" s="83" t="str">
        <x:f>IF($E175="","",IF(T175&gt;R175,"MOQ 조정",IF(K175="Y","필수품 확인","정상")))</x:f>
      </x:c>
    </x:row>
    <x:row r="176">
      <x:c r="A176" s="71"/>
      <x:c r="B176" s="71"/>
      <x:c r="C176" s="72"/>
      <x:c r="D176" s="72"/>
      <x:c r="E176" s="72"/>
      <x:c r="F176" s="72"/>
      <x:c r="G176" s="72"/>
      <x:c r="H176" s="81" t="str">
        <x:f>IF($E176="","",SUMIFS('Input_OL'!$K$4:$K$200,'Input_OL'!$C$4:$C$200,C176,'Input_OL'!$F$4:$F$200,B176))</x:f>
      </x:c>
      <x:c r="I176" s="81" t="str">
        <x:f>IF($E176="","",SUMIFS('Master_BOM'!$F$4:$F$200,'Master_BOM'!$A$4:$A$200,C176,'Master_BOM'!$C$4:$C$200,E176))</x:f>
      </x:c>
      <x:c r="J176" s="82" t="str">
        <x:f>IF($E176="","",SUMIFS('Master_BOM'!$G$4:$G$200,'Master_BOM'!$A$4:$A$200,C176,'Master_BOM'!$C$4:$C$200,E176))</x:f>
      </x:c>
      <x:c r="K176" s="83" t="str">
        <x:f>IF($E176="","",SUMIFS('Master_BOM'!$H$4:$H$200,'Master_BOM'!$A$4:$A$200,C176,'Master_BOM'!$C$4:$C$200,E176))</x:f>
      </x:c>
      <x:c r="L176" s="75" t="str">
        <x:f>IF($E176="","",IF(K176="Y",H176*I176,H176*I176*J176))</x:f>
      </x:c>
      <x:c r="M176" s="75" t="str">
        <x:f>IF($E176="","",IFERROR(SUMIFS('Master_BOM'!$J$4:$J$200,'Master_BOM'!$C$4:$C$200,E176),0))</x:f>
      </x:c>
      <x:c r="N176" s="75" t="str">
        <x:f>IF($E176="","",L176+M176)</x:f>
      </x:c>
      <x:c r="O176" s="75" t="str">
        <x:f>IF($E176="","",SUMIFS('Input_Inventory'!$G$4:$G$200,'Input_Inventory'!$C$4:$C$200,E176))</x:f>
      </x:c>
      <x:c r="P176" s="75" t="str">
        <x:f>IF($E176="","",SUMIFS('Input_Inventory'!$L$4:$L$200,'Input_Inventory'!$C$4:$C$200,E176,'Input_Inventory'!$F$4:$F$200,B176))</x:f>
      </x:c>
      <x:c r="Q176" s="75" t="str">
        <x:f>IF($E176="","",O176+P176)</x:f>
      </x:c>
      <x:c r="R176" s="75" t="str">
        <x:f>IF($E176="","",MAX(0,N176-Q176))</x:f>
      </x:c>
      <x:c r="S176" s="75" t="str">
        <x:f>IF($E176="","",SUMIFS('Master_Rules'!$G$4:$G$200,'Master_Rules'!$D$4:$D$200,E176))</x:f>
      </x:c>
      <x:c r="T176" s="75" t="str">
        <x:f>IF($E176="","",IF(S176=0,R176,MAX(S176,CEILING(R176,SUMIFS('Master_Rules'!$H$4:$H$200,'Master_Rules'!$D$4:$D$200,E176)))))</x:f>
      </x:c>
      <x:c r="U176" s="75" t="str">
        <x:f>IF($E176="","",T176*SUMIFS('Master_Rules'!$J$4:$J$200,'Master_Rules'!$D$4:$D$200,E176))</x:f>
      </x:c>
      <x:c r="V176" s="83" t="str">
        <x:f>IF($E176="","",IF(T176&gt;R176,"MOQ 조정",IF(K176="Y","필수품 확인","정상")))</x:f>
      </x:c>
    </x:row>
    <x:row r="177">
      <x:c r="A177" s="71"/>
      <x:c r="B177" s="71"/>
      <x:c r="C177" s="72"/>
      <x:c r="D177" s="72"/>
      <x:c r="E177" s="72"/>
      <x:c r="F177" s="72"/>
      <x:c r="G177" s="72"/>
      <x:c r="H177" s="81" t="str">
        <x:f>IF($E177="","",SUMIFS('Input_OL'!$K$4:$K$200,'Input_OL'!$C$4:$C$200,C177,'Input_OL'!$F$4:$F$200,B177))</x:f>
      </x:c>
      <x:c r="I177" s="81" t="str">
        <x:f>IF($E177="","",SUMIFS('Master_BOM'!$F$4:$F$200,'Master_BOM'!$A$4:$A$200,C177,'Master_BOM'!$C$4:$C$200,E177))</x:f>
      </x:c>
      <x:c r="J177" s="82" t="str">
        <x:f>IF($E177="","",SUMIFS('Master_BOM'!$G$4:$G$200,'Master_BOM'!$A$4:$A$200,C177,'Master_BOM'!$C$4:$C$200,E177))</x:f>
      </x:c>
      <x:c r="K177" s="83" t="str">
        <x:f>IF($E177="","",SUMIFS('Master_BOM'!$H$4:$H$200,'Master_BOM'!$A$4:$A$200,C177,'Master_BOM'!$C$4:$C$200,E177))</x:f>
      </x:c>
      <x:c r="L177" s="75" t="str">
        <x:f>IF($E177="","",IF(K177="Y",H177*I177,H177*I177*J177))</x:f>
      </x:c>
      <x:c r="M177" s="75" t="str">
        <x:f>IF($E177="","",IFERROR(SUMIFS('Master_BOM'!$J$4:$J$200,'Master_BOM'!$C$4:$C$200,E177),0))</x:f>
      </x:c>
      <x:c r="N177" s="75" t="str">
        <x:f>IF($E177="","",L177+M177)</x:f>
      </x:c>
      <x:c r="O177" s="75" t="str">
        <x:f>IF($E177="","",SUMIFS('Input_Inventory'!$G$4:$G$200,'Input_Inventory'!$C$4:$C$200,E177))</x:f>
      </x:c>
      <x:c r="P177" s="75" t="str">
        <x:f>IF($E177="","",SUMIFS('Input_Inventory'!$L$4:$L$200,'Input_Inventory'!$C$4:$C$200,E177,'Input_Inventory'!$F$4:$F$200,B177))</x:f>
      </x:c>
      <x:c r="Q177" s="75" t="str">
        <x:f>IF($E177="","",O177+P177)</x:f>
      </x:c>
      <x:c r="R177" s="75" t="str">
        <x:f>IF($E177="","",MAX(0,N177-Q177))</x:f>
      </x:c>
      <x:c r="S177" s="75" t="str">
        <x:f>IF($E177="","",SUMIFS('Master_Rules'!$G$4:$G$200,'Master_Rules'!$D$4:$D$200,E177))</x:f>
      </x:c>
      <x:c r="T177" s="75" t="str">
        <x:f>IF($E177="","",IF(S177=0,R177,MAX(S177,CEILING(R177,SUMIFS('Master_Rules'!$H$4:$H$200,'Master_Rules'!$D$4:$D$200,E177)))))</x:f>
      </x:c>
      <x:c r="U177" s="75" t="str">
        <x:f>IF($E177="","",T177*SUMIFS('Master_Rules'!$J$4:$J$200,'Master_Rules'!$D$4:$D$200,E177))</x:f>
      </x:c>
      <x:c r="V177" s="83" t="str">
        <x:f>IF($E177="","",IF(T177&gt;R177,"MOQ 조정",IF(K177="Y","필수품 확인","정상")))</x:f>
      </x:c>
    </x:row>
    <x:row r="178">
      <x:c r="A178" s="71"/>
      <x:c r="B178" s="71"/>
      <x:c r="C178" s="72"/>
      <x:c r="D178" s="72"/>
      <x:c r="E178" s="72"/>
      <x:c r="F178" s="72"/>
      <x:c r="G178" s="72"/>
      <x:c r="H178" s="81" t="str">
        <x:f>IF($E178="","",SUMIFS('Input_OL'!$K$4:$K$200,'Input_OL'!$C$4:$C$200,C178,'Input_OL'!$F$4:$F$200,B178))</x:f>
      </x:c>
      <x:c r="I178" s="81" t="str">
        <x:f>IF($E178="","",SUMIFS('Master_BOM'!$F$4:$F$200,'Master_BOM'!$A$4:$A$200,C178,'Master_BOM'!$C$4:$C$200,E178))</x:f>
      </x:c>
      <x:c r="J178" s="82" t="str">
        <x:f>IF($E178="","",SUMIFS('Master_BOM'!$G$4:$G$200,'Master_BOM'!$A$4:$A$200,C178,'Master_BOM'!$C$4:$C$200,E178))</x:f>
      </x:c>
      <x:c r="K178" s="83" t="str">
        <x:f>IF($E178="","",SUMIFS('Master_BOM'!$H$4:$H$200,'Master_BOM'!$A$4:$A$200,C178,'Master_BOM'!$C$4:$C$200,E178))</x:f>
      </x:c>
      <x:c r="L178" s="75" t="str">
        <x:f>IF($E178="","",IF(K178="Y",H178*I178,H178*I178*J178))</x:f>
      </x:c>
      <x:c r="M178" s="75" t="str">
        <x:f>IF($E178="","",IFERROR(SUMIFS('Master_BOM'!$J$4:$J$200,'Master_BOM'!$C$4:$C$200,E178),0))</x:f>
      </x:c>
      <x:c r="N178" s="75" t="str">
        <x:f>IF($E178="","",L178+M178)</x:f>
      </x:c>
      <x:c r="O178" s="75" t="str">
        <x:f>IF($E178="","",SUMIFS('Input_Inventory'!$G$4:$G$200,'Input_Inventory'!$C$4:$C$200,E178))</x:f>
      </x:c>
      <x:c r="P178" s="75" t="str">
        <x:f>IF($E178="","",SUMIFS('Input_Inventory'!$L$4:$L$200,'Input_Inventory'!$C$4:$C$200,E178,'Input_Inventory'!$F$4:$F$200,B178))</x:f>
      </x:c>
      <x:c r="Q178" s="75" t="str">
        <x:f>IF($E178="","",O178+P178)</x:f>
      </x:c>
      <x:c r="R178" s="75" t="str">
        <x:f>IF($E178="","",MAX(0,N178-Q178))</x:f>
      </x:c>
      <x:c r="S178" s="75" t="str">
        <x:f>IF($E178="","",SUMIFS('Master_Rules'!$G$4:$G$200,'Master_Rules'!$D$4:$D$200,E178))</x:f>
      </x:c>
      <x:c r="T178" s="75" t="str">
        <x:f>IF($E178="","",IF(S178=0,R178,MAX(S178,CEILING(R178,SUMIFS('Master_Rules'!$H$4:$H$200,'Master_Rules'!$D$4:$D$200,E178)))))</x:f>
      </x:c>
      <x:c r="U178" s="75" t="str">
        <x:f>IF($E178="","",T178*SUMIFS('Master_Rules'!$J$4:$J$200,'Master_Rules'!$D$4:$D$200,E178))</x:f>
      </x:c>
      <x:c r="V178" s="83" t="str">
        <x:f>IF($E178="","",IF(T178&gt;R178,"MOQ 조정",IF(K178="Y","필수품 확인","정상")))</x:f>
      </x:c>
    </x:row>
    <x:row r="179">
      <x:c r="A179" s="71"/>
      <x:c r="B179" s="71"/>
      <x:c r="C179" s="72"/>
      <x:c r="D179" s="72"/>
      <x:c r="E179" s="72"/>
      <x:c r="F179" s="72"/>
      <x:c r="G179" s="72"/>
      <x:c r="H179" s="81" t="str">
        <x:f>IF($E179="","",SUMIFS('Input_OL'!$K$4:$K$200,'Input_OL'!$C$4:$C$200,C179,'Input_OL'!$F$4:$F$200,B179))</x:f>
      </x:c>
      <x:c r="I179" s="81" t="str">
        <x:f>IF($E179="","",SUMIFS('Master_BOM'!$F$4:$F$200,'Master_BOM'!$A$4:$A$200,C179,'Master_BOM'!$C$4:$C$200,E179))</x:f>
      </x:c>
      <x:c r="J179" s="82" t="str">
        <x:f>IF($E179="","",SUMIFS('Master_BOM'!$G$4:$G$200,'Master_BOM'!$A$4:$A$200,C179,'Master_BOM'!$C$4:$C$200,E179))</x:f>
      </x:c>
      <x:c r="K179" s="83" t="str">
        <x:f>IF($E179="","",SUMIFS('Master_BOM'!$H$4:$H$200,'Master_BOM'!$A$4:$A$200,C179,'Master_BOM'!$C$4:$C$200,E179))</x:f>
      </x:c>
      <x:c r="L179" s="75" t="str">
        <x:f>IF($E179="","",IF(K179="Y",H179*I179,H179*I179*J179))</x:f>
      </x:c>
      <x:c r="M179" s="75" t="str">
        <x:f>IF($E179="","",IFERROR(SUMIFS('Master_BOM'!$J$4:$J$200,'Master_BOM'!$C$4:$C$200,E179),0))</x:f>
      </x:c>
      <x:c r="N179" s="75" t="str">
        <x:f>IF($E179="","",L179+M179)</x:f>
      </x:c>
      <x:c r="O179" s="75" t="str">
        <x:f>IF($E179="","",SUMIFS('Input_Inventory'!$G$4:$G$200,'Input_Inventory'!$C$4:$C$200,E179))</x:f>
      </x:c>
      <x:c r="P179" s="75" t="str">
        <x:f>IF($E179="","",SUMIFS('Input_Inventory'!$L$4:$L$200,'Input_Inventory'!$C$4:$C$200,E179,'Input_Inventory'!$F$4:$F$200,B179))</x:f>
      </x:c>
      <x:c r="Q179" s="75" t="str">
        <x:f>IF($E179="","",O179+P179)</x:f>
      </x:c>
      <x:c r="R179" s="75" t="str">
        <x:f>IF($E179="","",MAX(0,N179-Q179))</x:f>
      </x:c>
      <x:c r="S179" s="75" t="str">
        <x:f>IF($E179="","",SUMIFS('Master_Rules'!$G$4:$G$200,'Master_Rules'!$D$4:$D$200,E179))</x:f>
      </x:c>
      <x:c r="T179" s="75" t="str">
        <x:f>IF($E179="","",IF(S179=0,R179,MAX(S179,CEILING(R179,SUMIFS('Master_Rules'!$H$4:$H$200,'Master_Rules'!$D$4:$D$200,E179)))))</x:f>
      </x:c>
      <x:c r="U179" s="75" t="str">
        <x:f>IF($E179="","",T179*SUMIFS('Master_Rules'!$J$4:$J$200,'Master_Rules'!$D$4:$D$200,E179))</x:f>
      </x:c>
      <x:c r="V179" s="83" t="str">
        <x:f>IF($E179="","",IF(T179&gt;R179,"MOQ 조정",IF(K179="Y","필수품 확인","정상")))</x:f>
      </x:c>
    </x:row>
    <x:row r="180">
      <x:c r="A180" s="71"/>
      <x:c r="B180" s="71"/>
      <x:c r="C180" s="72"/>
      <x:c r="D180" s="72"/>
      <x:c r="E180" s="72"/>
      <x:c r="F180" s="72"/>
      <x:c r="G180" s="72"/>
      <x:c r="H180" s="81" t="str">
        <x:f>IF($E180="","",SUMIFS('Input_OL'!$K$4:$K$200,'Input_OL'!$C$4:$C$200,C180,'Input_OL'!$F$4:$F$200,B180))</x:f>
      </x:c>
      <x:c r="I180" s="81" t="str">
        <x:f>IF($E180="","",SUMIFS('Master_BOM'!$F$4:$F$200,'Master_BOM'!$A$4:$A$200,C180,'Master_BOM'!$C$4:$C$200,E180))</x:f>
      </x:c>
      <x:c r="J180" s="82" t="str">
        <x:f>IF($E180="","",SUMIFS('Master_BOM'!$G$4:$G$200,'Master_BOM'!$A$4:$A$200,C180,'Master_BOM'!$C$4:$C$200,E180))</x:f>
      </x:c>
      <x:c r="K180" s="83" t="str">
        <x:f>IF($E180="","",SUMIFS('Master_BOM'!$H$4:$H$200,'Master_BOM'!$A$4:$A$200,C180,'Master_BOM'!$C$4:$C$200,E180))</x:f>
      </x:c>
      <x:c r="L180" s="75" t="str">
        <x:f>IF($E180="","",IF(K180="Y",H180*I180,H180*I180*J180))</x:f>
      </x:c>
      <x:c r="M180" s="75" t="str">
        <x:f>IF($E180="","",IFERROR(SUMIFS('Master_BOM'!$J$4:$J$200,'Master_BOM'!$C$4:$C$200,E180),0))</x:f>
      </x:c>
      <x:c r="N180" s="75" t="str">
        <x:f>IF($E180="","",L180+M180)</x:f>
      </x:c>
      <x:c r="O180" s="75" t="str">
        <x:f>IF($E180="","",SUMIFS('Input_Inventory'!$G$4:$G$200,'Input_Inventory'!$C$4:$C$200,E180))</x:f>
      </x:c>
      <x:c r="P180" s="75" t="str">
        <x:f>IF($E180="","",SUMIFS('Input_Inventory'!$L$4:$L$200,'Input_Inventory'!$C$4:$C$200,E180,'Input_Inventory'!$F$4:$F$200,B180))</x:f>
      </x:c>
      <x:c r="Q180" s="75" t="str">
        <x:f>IF($E180="","",O180+P180)</x:f>
      </x:c>
      <x:c r="R180" s="75" t="str">
        <x:f>IF($E180="","",MAX(0,N180-Q180))</x:f>
      </x:c>
      <x:c r="S180" s="75" t="str">
        <x:f>IF($E180="","",SUMIFS('Master_Rules'!$G$4:$G$200,'Master_Rules'!$D$4:$D$200,E180))</x:f>
      </x:c>
      <x:c r="T180" s="75" t="str">
        <x:f>IF($E180="","",IF(S180=0,R180,MAX(S180,CEILING(R180,SUMIFS('Master_Rules'!$H$4:$H$200,'Master_Rules'!$D$4:$D$200,E180)))))</x:f>
      </x:c>
      <x:c r="U180" s="75" t="str">
        <x:f>IF($E180="","",T180*SUMIFS('Master_Rules'!$J$4:$J$200,'Master_Rules'!$D$4:$D$200,E180))</x:f>
      </x:c>
      <x:c r="V180" s="83" t="str">
        <x:f>IF($E180="","",IF(T180&gt;R180,"MOQ 조정",IF(K180="Y","필수품 확인","정상")))</x:f>
      </x:c>
    </x:row>
    <x:row r="181">
      <x:c r="A181" s="71"/>
      <x:c r="B181" s="71"/>
      <x:c r="C181" s="72"/>
      <x:c r="D181" s="72"/>
      <x:c r="E181" s="72"/>
      <x:c r="F181" s="72"/>
      <x:c r="G181" s="72"/>
      <x:c r="H181" s="81" t="str">
        <x:f>IF($E181="","",SUMIFS('Input_OL'!$K$4:$K$200,'Input_OL'!$C$4:$C$200,C181,'Input_OL'!$F$4:$F$200,B181))</x:f>
      </x:c>
      <x:c r="I181" s="81" t="str">
        <x:f>IF($E181="","",SUMIFS('Master_BOM'!$F$4:$F$200,'Master_BOM'!$A$4:$A$200,C181,'Master_BOM'!$C$4:$C$200,E181))</x:f>
      </x:c>
      <x:c r="J181" s="82" t="str">
        <x:f>IF($E181="","",SUMIFS('Master_BOM'!$G$4:$G$200,'Master_BOM'!$A$4:$A$200,C181,'Master_BOM'!$C$4:$C$200,E181))</x:f>
      </x:c>
      <x:c r="K181" s="83" t="str">
        <x:f>IF($E181="","",SUMIFS('Master_BOM'!$H$4:$H$200,'Master_BOM'!$A$4:$A$200,C181,'Master_BOM'!$C$4:$C$200,E181))</x:f>
      </x:c>
      <x:c r="L181" s="75" t="str">
        <x:f>IF($E181="","",IF(K181="Y",H181*I181,H181*I181*J181))</x:f>
      </x:c>
      <x:c r="M181" s="75" t="str">
        <x:f>IF($E181="","",IFERROR(SUMIFS('Master_BOM'!$J$4:$J$200,'Master_BOM'!$C$4:$C$200,E181),0))</x:f>
      </x:c>
      <x:c r="N181" s="75" t="str">
        <x:f>IF($E181="","",L181+M181)</x:f>
      </x:c>
      <x:c r="O181" s="75" t="str">
        <x:f>IF($E181="","",SUMIFS('Input_Inventory'!$G$4:$G$200,'Input_Inventory'!$C$4:$C$200,E181))</x:f>
      </x:c>
      <x:c r="P181" s="75" t="str">
        <x:f>IF($E181="","",SUMIFS('Input_Inventory'!$L$4:$L$200,'Input_Inventory'!$C$4:$C$200,E181,'Input_Inventory'!$F$4:$F$200,B181))</x:f>
      </x:c>
      <x:c r="Q181" s="75" t="str">
        <x:f>IF($E181="","",O181+P181)</x:f>
      </x:c>
      <x:c r="R181" s="75" t="str">
        <x:f>IF($E181="","",MAX(0,N181-Q181))</x:f>
      </x:c>
      <x:c r="S181" s="75" t="str">
        <x:f>IF($E181="","",SUMIFS('Master_Rules'!$G$4:$G$200,'Master_Rules'!$D$4:$D$200,E181))</x:f>
      </x:c>
      <x:c r="T181" s="75" t="str">
        <x:f>IF($E181="","",IF(S181=0,R181,MAX(S181,CEILING(R181,SUMIFS('Master_Rules'!$H$4:$H$200,'Master_Rules'!$D$4:$D$200,E181)))))</x:f>
      </x:c>
      <x:c r="U181" s="75" t="str">
        <x:f>IF($E181="","",T181*SUMIFS('Master_Rules'!$J$4:$J$200,'Master_Rules'!$D$4:$D$200,E181))</x:f>
      </x:c>
      <x:c r="V181" s="83" t="str">
        <x:f>IF($E181="","",IF(T181&gt;R181,"MOQ 조정",IF(K181="Y","필수품 확인","정상")))</x:f>
      </x:c>
    </x:row>
    <x:row r="182">
      <x:c r="A182" s="71"/>
      <x:c r="B182" s="71"/>
      <x:c r="C182" s="72"/>
      <x:c r="D182" s="72"/>
      <x:c r="E182" s="72"/>
      <x:c r="F182" s="72"/>
      <x:c r="G182" s="72"/>
      <x:c r="H182" s="81" t="str">
        <x:f>IF($E182="","",SUMIFS('Input_OL'!$K$4:$K$200,'Input_OL'!$C$4:$C$200,C182,'Input_OL'!$F$4:$F$200,B182))</x:f>
      </x:c>
      <x:c r="I182" s="81" t="str">
        <x:f>IF($E182="","",SUMIFS('Master_BOM'!$F$4:$F$200,'Master_BOM'!$A$4:$A$200,C182,'Master_BOM'!$C$4:$C$200,E182))</x:f>
      </x:c>
      <x:c r="J182" s="82" t="str">
        <x:f>IF($E182="","",SUMIFS('Master_BOM'!$G$4:$G$200,'Master_BOM'!$A$4:$A$200,C182,'Master_BOM'!$C$4:$C$200,E182))</x:f>
      </x:c>
      <x:c r="K182" s="83" t="str">
        <x:f>IF($E182="","",SUMIFS('Master_BOM'!$H$4:$H$200,'Master_BOM'!$A$4:$A$200,C182,'Master_BOM'!$C$4:$C$200,E182))</x:f>
      </x:c>
      <x:c r="L182" s="75" t="str">
        <x:f>IF($E182="","",IF(K182="Y",H182*I182,H182*I182*J182))</x:f>
      </x:c>
      <x:c r="M182" s="75" t="str">
        <x:f>IF($E182="","",IFERROR(SUMIFS('Master_BOM'!$J$4:$J$200,'Master_BOM'!$C$4:$C$200,E182),0))</x:f>
      </x:c>
      <x:c r="N182" s="75" t="str">
        <x:f>IF($E182="","",L182+M182)</x:f>
      </x:c>
      <x:c r="O182" s="75" t="str">
        <x:f>IF($E182="","",SUMIFS('Input_Inventory'!$G$4:$G$200,'Input_Inventory'!$C$4:$C$200,E182))</x:f>
      </x:c>
      <x:c r="P182" s="75" t="str">
        <x:f>IF($E182="","",SUMIFS('Input_Inventory'!$L$4:$L$200,'Input_Inventory'!$C$4:$C$200,E182,'Input_Inventory'!$F$4:$F$200,B182))</x:f>
      </x:c>
      <x:c r="Q182" s="75" t="str">
        <x:f>IF($E182="","",O182+P182)</x:f>
      </x:c>
      <x:c r="R182" s="75" t="str">
        <x:f>IF($E182="","",MAX(0,N182-Q182))</x:f>
      </x:c>
      <x:c r="S182" s="75" t="str">
        <x:f>IF($E182="","",SUMIFS('Master_Rules'!$G$4:$G$200,'Master_Rules'!$D$4:$D$200,E182))</x:f>
      </x:c>
      <x:c r="T182" s="75" t="str">
        <x:f>IF($E182="","",IF(S182=0,R182,MAX(S182,CEILING(R182,SUMIFS('Master_Rules'!$H$4:$H$200,'Master_Rules'!$D$4:$D$200,E182)))))</x:f>
      </x:c>
      <x:c r="U182" s="75" t="str">
        <x:f>IF($E182="","",T182*SUMIFS('Master_Rules'!$J$4:$J$200,'Master_Rules'!$D$4:$D$200,E182))</x:f>
      </x:c>
      <x:c r="V182" s="83" t="str">
        <x:f>IF($E182="","",IF(T182&gt;R182,"MOQ 조정",IF(K182="Y","필수품 확인","정상")))</x:f>
      </x:c>
    </x:row>
    <x:row r="183">
      <x:c r="A183" s="71"/>
      <x:c r="B183" s="71"/>
      <x:c r="C183" s="72"/>
      <x:c r="D183" s="72"/>
      <x:c r="E183" s="72"/>
      <x:c r="F183" s="72"/>
      <x:c r="G183" s="72"/>
      <x:c r="H183" s="81" t="str">
        <x:f>IF($E183="","",SUMIFS('Input_OL'!$K$4:$K$200,'Input_OL'!$C$4:$C$200,C183,'Input_OL'!$F$4:$F$200,B183))</x:f>
      </x:c>
      <x:c r="I183" s="81" t="str">
        <x:f>IF($E183="","",SUMIFS('Master_BOM'!$F$4:$F$200,'Master_BOM'!$A$4:$A$200,C183,'Master_BOM'!$C$4:$C$200,E183))</x:f>
      </x:c>
      <x:c r="J183" s="82" t="str">
        <x:f>IF($E183="","",SUMIFS('Master_BOM'!$G$4:$G$200,'Master_BOM'!$A$4:$A$200,C183,'Master_BOM'!$C$4:$C$200,E183))</x:f>
      </x:c>
      <x:c r="K183" s="83" t="str">
        <x:f>IF($E183="","",SUMIFS('Master_BOM'!$H$4:$H$200,'Master_BOM'!$A$4:$A$200,C183,'Master_BOM'!$C$4:$C$200,E183))</x:f>
      </x:c>
      <x:c r="L183" s="75" t="str">
        <x:f>IF($E183="","",IF(K183="Y",H183*I183,H183*I183*J183))</x:f>
      </x:c>
      <x:c r="M183" s="75" t="str">
        <x:f>IF($E183="","",IFERROR(SUMIFS('Master_BOM'!$J$4:$J$200,'Master_BOM'!$C$4:$C$200,E183),0))</x:f>
      </x:c>
      <x:c r="N183" s="75" t="str">
        <x:f>IF($E183="","",L183+M183)</x:f>
      </x:c>
      <x:c r="O183" s="75" t="str">
        <x:f>IF($E183="","",SUMIFS('Input_Inventory'!$G$4:$G$200,'Input_Inventory'!$C$4:$C$200,E183))</x:f>
      </x:c>
      <x:c r="P183" s="75" t="str">
        <x:f>IF($E183="","",SUMIFS('Input_Inventory'!$L$4:$L$200,'Input_Inventory'!$C$4:$C$200,E183,'Input_Inventory'!$F$4:$F$200,B183))</x:f>
      </x:c>
      <x:c r="Q183" s="75" t="str">
        <x:f>IF($E183="","",O183+P183)</x:f>
      </x:c>
      <x:c r="R183" s="75" t="str">
        <x:f>IF($E183="","",MAX(0,N183-Q183))</x:f>
      </x:c>
      <x:c r="S183" s="75" t="str">
        <x:f>IF($E183="","",SUMIFS('Master_Rules'!$G$4:$G$200,'Master_Rules'!$D$4:$D$200,E183))</x:f>
      </x:c>
      <x:c r="T183" s="75" t="str">
        <x:f>IF($E183="","",IF(S183=0,R183,MAX(S183,CEILING(R183,SUMIFS('Master_Rules'!$H$4:$H$200,'Master_Rules'!$D$4:$D$200,E183)))))</x:f>
      </x:c>
      <x:c r="U183" s="75" t="str">
        <x:f>IF($E183="","",T183*SUMIFS('Master_Rules'!$J$4:$J$200,'Master_Rules'!$D$4:$D$200,E183))</x:f>
      </x:c>
      <x:c r="V183" s="83" t="str">
        <x:f>IF($E183="","",IF(T183&gt;R183,"MOQ 조정",IF(K183="Y","필수품 확인","정상")))</x:f>
      </x:c>
    </x:row>
    <x:row r="184">
      <x:c r="A184" s="71"/>
      <x:c r="B184" s="71"/>
      <x:c r="C184" s="72"/>
      <x:c r="D184" s="72"/>
      <x:c r="E184" s="72"/>
      <x:c r="F184" s="72"/>
      <x:c r="G184" s="72"/>
      <x:c r="H184" s="81" t="str">
        <x:f>IF($E184="","",SUMIFS('Input_OL'!$K$4:$K$200,'Input_OL'!$C$4:$C$200,C184,'Input_OL'!$F$4:$F$200,B184))</x:f>
      </x:c>
      <x:c r="I184" s="81" t="str">
        <x:f>IF($E184="","",SUMIFS('Master_BOM'!$F$4:$F$200,'Master_BOM'!$A$4:$A$200,C184,'Master_BOM'!$C$4:$C$200,E184))</x:f>
      </x:c>
      <x:c r="J184" s="82" t="str">
        <x:f>IF($E184="","",SUMIFS('Master_BOM'!$G$4:$G$200,'Master_BOM'!$A$4:$A$200,C184,'Master_BOM'!$C$4:$C$200,E184))</x:f>
      </x:c>
      <x:c r="K184" s="83" t="str">
        <x:f>IF($E184="","",SUMIFS('Master_BOM'!$H$4:$H$200,'Master_BOM'!$A$4:$A$200,C184,'Master_BOM'!$C$4:$C$200,E184))</x:f>
      </x:c>
      <x:c r="L184" s="75" t="str">
        <x:f>IF($E184="","",IF(K184="Y",H184*I184,H184*I184*J184))</x:f>
      </x:c>
      <x:c r="M184" s="75" t="str">
        <x:f>IF($E184="","",IFERROR(SUMIFS('Master_BOM'!$J$4:$J$200,'Master_BOM'!$C$4:$C$200,E184),0))</x:f>
      </x:c>
      <x:c r="N184" s="75" t="str">
        <x:f>IF($E184="","",L184+M184)</x:f>
      </x:c>
      <x:c r="O184" s="75" t="str">
        <x:f>IF($E184="","",SUMIFS('Input_Inventory'!$G$4:$G$200,'Input_Inventory'!$C$4:$C$200,E184))</x:f>
      </x:c>
      <x:c r="P184" s="75" t="str">
        <x:f>IF($E184="","",SUMIFS('Input_Inventory'!$L$4:$L$200,'Input_Inventory'!$C$4:$C$200,E184,'Input_Inventory'!$F$4:$F$200,B184))</x:f>
      </x:c>
      <x:c r="Q184" s="75" t="str">
        <x:f>IF($E184="","",O184+P184)</x:f>
      </x:c>
      <x:c r="R184" s="75" t="str">
        <x:f>IF($E184="","",MAX(0,N184-Q184))</x:f>
      </x:c>
      <x:c r="S184" s="75" t="str">
        <x:f>IF($E184="","",SUMIFS('Master_Rules'!$G$4:$G$200,'Master_Rules'!$D$4:$D$200,E184))</x:f>
      </x:c>
      <x:c r="T184" s="75" t="str">
        <x:f>IF($E184="","",IF(S184=0,R184,MAX(S184,CEILING(R184,SUMIFS('Master_Rules'!$H$4:$H$200,'Master_Rules'!$D$4:$D$200,E184)))))</x:f>
      </x:c>
      <x:c r="U184" s="75" t="str">
        <x:f>IF($E184="","",T184*SUMIFS('Master_Rules'!$J$4:$J$200,'Master_Rules'!$D$4:$D$200,E184))</x:f>
      </x:c>
      <x:c r="V184" s="83" t="str">
        <x:f>IF($E184="","",IF(T184&gt;R184,"MOQ 조정",IF(K184="Y","필수품 확인","정상")))</x:f>
      </x:c>
    </x:row>
    <x:row r="185">
      <x:c r="A185" s="71"/>
      <x:c r="B185" s="71"/>
      <x:c r="C185" s="72"/>
      <x:c r="D185" s="72"/>
      <x:c r="E185" s="72"/>
      <x:c r="F185" s="72"/>
      <x:c r="G185" s="72"/>
      <x:c r="H185" s="81" t="str">
        <x:f>IF($E185="","",SUMIFS('Input_OL'!$K$4:$K$200,'Input_OL'!$C$4:$C$200,C185,'Input_OL'!$F$4:$F$200,B185))</x:f>
      </x:c>
      <x:c r="I185" s="81" t="str">
        <x:f>IF($E185="","",SUMIFS('Master_BOM'!$F$4:$F$200,'Master_BOM'!$A$4:$A$200,C185,'Master_BOM'!$C$4:$C$200,E185))</x:f>
      </x:c>
      <x:c r="J185" s="82" t="str">
        <x:f>IF($E185="","",SUMIFS('Master_BOM'!$G$4:$G$200,'Master_BOM'!$A$4:$A$200,C185,'Master_BOM'!$C$4:$C$200,E185))</x:f>
      </x:c>
      <x:c r="K185" s="83" t="str">
        <x:f>IF($E185="","",SUMIFS('Master_BOM'!$H$4:$H$200,'Master_BOM'!$A$4:$A$200,C185,'Master_BOM'!$C$4:$C$200,E185))</x:f>
      </x:c>
      <x:c r="L185" s="75" t="str">
        <x:f>IF($E185="","",IF(K185="Y",H185*I185,H185*I185*J185))</x:f>
      </x:c>
      <x:c r="M185" s="75" t="str">
        <x:f>IF($E185="","",IFERROR(SUMIFS('Master_BOM'!$J$4:$J$200,'Master_BOM'!$C$4:$C$200,E185),0))</x:f>
      </x:c>
      <x:c r="N185" s="75" t="str">
        <x:f>IF($E185="","",L185+M185)</x:f>
      </x:c>
      <x:c r="O185" s="75" t="str">
        <x:f>IF($E185="","",SUMIFS('Input_Inventory'!$G$4:$G$200,'Input_Inventory'!$C$4:$C$200,E185))</x:f>
      </x:c>
      <x:c r="P185" s="75" t="str">
        <x:f>IF($E185="","",SUMIFS('Input_Inventory'!$L$4:$L$200,'Input_Inventory'!$C$4:$C$200,E185,'Input_Inventory'!$F$4:$F$200,B185))</x:f>
      </x:c>
      <x:c r="Q185" s="75" t="str">
        <x:f>IF($E185="","",O185+P185)</x:f>
      </x:c>
      <x:c r="R185" s="75" t="str">
        <x:f>IF($E185="","",MAX(0,N185-Q185))</x:f>
      </x:c>
      <x:c r="S185" s="75" t="str">
        <x:f>IF($E185="","",SUMIFS('Master_Rules'!$G$4:$G$200,'Master_Rules'!$D$4:$D$200,E185))</x:f>
      </x:c>
      <x:c r="T185" s="75" t="str">
        <x:f>IF($E185="","",IF(S185=0,R185,MAX(S185,CEILING(R185,SUMIFS('Master_Rules'!$H$4:$H$200,'Master_Rules'!$D$4:$D$200,E185)))))</x:f>
      </x:c>
      <x:c r="U185" s="75" t="str">
        <x:f>IF($E185="","",T185*SUMIFS('Master_Rules'!$J$4:$J$200,'Master_Rules'!$D$4:$D$200,E185))</x:f>
      </x:c>
      <x:c r="V185" s="83" t="str">
        <x:f>IF($E185="","",IF(T185&gt;R185,"MOQ 조정",IF(K185="Y","필수품 확인","정상")))</x:f>
      </x:c>
    </x:row>
    <x:row r="186">
      <x:c r="A186" s="71"/>
      <x:c r="B186" s="71"/>
      <x:c r="C186" s="72"/>
      <x:c r="D186" s="72"/>
      <x:c r="E186" s="72"/>
      <x:c r="F186" s="72"/>
      <x:c r="G186" s="72"/>
      <x:c r="H186" s="81" t="str">
        <x:f>IF($E186="","",SUMIFS('Input_OL'!$K$4:$K$200,'Input_OL'!$C$4:$C$200,C186,'Input_OL'!$F$4:$F$200,B186))</x:f>
      </x:c>
      <x:c r="I186" s="81" t="str">
        <x:f>IF($E186="","",SUMIFS('Master_BOM'!$F$4:$F$200,'Master_BOM'!$A$4:$A$200,C186,'Master_BOM'!$C$4:$C$200,E186))</x:f>
      </x:c>
      <x:c r="J186" s="82" t="str">
        <x:f>IF($E186="","",SUMIFS('Master_BOM'!$G$4:$G$200,'Master_BOM'!$A$4:$A$200,C186,'Master_BOM'!$C$4:$C$200,E186))</x:f>
      </x:c>
      <x:c r="K186" s="83" t="str">
        <x:f>IF($E186="","",SUMIFS('Master_BOM'!$H$4:$H$200,'Master_BOM'!$A$4:$A$200,C186,'Master_BOM'!$C$4:$C$200,E186))</x:f>
      </x:c>
      <x:c r="L186" s="75" t="str">
        <x:f>IF($E186="","",IF(K186="Y",H186*I186,H186*I186*J186))</x:f>
      </x:c>
      <x:c r="M186" s="75" t="str">
        <x:f>IF($E186="","",IFERROR(SUMIFS('Master_BOM'!$J$4:$J$200,'Master_BOM'!$C$4:$C$200,E186),0))</x:f>
      </x:c>
      <x:c r="N186" s="75" t="str">
        <x:f>IF($E186="","",L186+M186)</x:f>
      </x:c>
      <x:c r="O186" s="75" t="str">
        <x:f>IF($E186="","",SUMIFS('Input_Inventory'!$G$4:$G$200,'Input_Inventory'!$C$4:$C$200,E186))</x:f>
      </x:c>
      <x:c r="P186" s="75" t="str">
        <x:f>IF($E186="","",SUMIFS('Input_Inventory'!$L$4:$L$200,'Input_Inventory'!$C$4:$C$200,E186,'Input_Inventory'!$F$4:$F$200,B186))</x:f>
      </x:c>
      <x:c r="Q186" s="75" t="str">
        <x:f>IF($E186="","",O186+P186)</x:f>
      </x:c>
      <x:c r="R186" s="75" t="str">
        <x:f>IF($E186="","",MAX(0,N186-Q186))</x:f>
      </x:c>
      <x:c r="S186" s="75" t="str">
        <x:f>IF($E186="","",SUMIFS('Master_Rules'!$G$4:$G$200,'Master_Rules'!$D$4:$D$200,E186))</x:f>
      </x:c>
      <x:c r="T186" s="75" t="str">
        <x:f>IF($E186="","",IF(S186=0,R186,MAX(S186,CEILING(R186,SUMIFS('Master_Rules'!$H$4:$H$200,'Master_Rules'!$D$4:$D$200,E186)))))</x:f>
      </x:c>
      <x:c r="U186" s="75" t="str">
        <x:f>IF($E186="","",T186*SUMIFS('Master_Rules'!$J$4:$J$200,'Master_Rules'!$D$4:$D$200,E186))</x:f>
      </x:c>
      <x:c r="V186" s="83" t="str">
        <x:f>IF($E186="","",IF(T186&gt;R186,"MOQ 조정",IF(K186="Y","필수품 확인","정상")))</x:f>
      </x:c>
    </x:row>
    <x:row r="187">
      <x:c r="A187" s="71"/>
      <x:c r="B187" s="71"/>
      <x:c r="C187" s="72"/>
      <x:c r="D187" s="72"/>
      <x:c r="E187" s="72"/>
      <x:c r="F187" s="72"/>
      <x:c r="G187" s="72"/>
      <x:c r="H187" s="81" t="str">
        <x:f>IF($E187="","",SUMIFS('Input_OL'!$K$4:$K$200,'Input_OL'!$C$4:$C$200,C187,'Input_OL'!$F$4:$F$200,B187))</x:f>
      </x:c>
      <x:c r="I187" s="81" t="str">
        <x:f>IF($E187="","",SUMIFS('Master_BOM'!$F$4:$F$200,'Master_BOM'!$A$4:$A$200,C187,'Master_BOM'!$C$4:$C$200,E187))</x:f>
      </x:c>
      <x:c r="J187" s="82" t="str">
        <x:f>IF($E187="","",SUMIFS('Master_BOM'!$G$4:$G$200,'Master_BOM'!$A$4:$A$200,C187,'Master_BOM'!$C$4:$C$200,E187))</x:f>
      </x:c>
      <x:c r="K187" s="83" t="str">
        <x:f>IF($E187="","",SUMIFS('Master_BOM'!$H$4:$H$200,'Master_BOM'!$A$4:$A$200,C187,'Master_BOM'!$C$4:$C$200,E187))</x:f>
      </x:c>
      <x:c r="L187" s="75" t="str">
        <x:f>IF($E187="","",IF(K187="Y",H187*I187,H187*I187*J187))</x:f>
      </x:c>
      <x:c r="M187" s="75" t="str">
        <x:f>IF($E187="","",IFERROR(SUMIFS('Master_BOM'!$J$4:$J$200,'Master_BOM'!$C$4:$C$200,E187),0))</x:f>
      </x:c>
      <x:c r="N187" s="75" t="str">
        <x:f>IF($E187="","",L187+M187)</x:f>
      </x:c>
      <x:c r="O187" s="75" t="str">
        <x:f>IF($E187="","",SUMIFS('Input_Inventory'!$G$4:$G$200,'Input_Inventory'!$C$4:$C$200,E187))</x:f>
      </x:c>
      <x:c r="P187" s="75" t="str">
        <x:f>IF($E187="","",SUMIFS('Input_Inventory'!$L$4:$L$200,'Input_Inventory'!$C$4:$C$200,E187,'Input_Inventory'!$F$4:$F$200,B187))</x:f>
      </x:c>
      <x:c r="Q187" s="75" t="str">
        <x:f>IF($E187="","",O187+P187)</x:f>
      </x:c>
      <x:c r="R187" s="75" t="str">
        <x:f>IF($E187="","",MAX(0,N187-Q187))</x:f>
      </x:c>
      <x:c r="S187" s="75" t="str">
        <x:f>IF($E187="","",SUMIFS('Master_Rules'!$G$4:$G$200,'Master_Rules'!$D$4:$D$200,E187))</x:f>
      </x:c>
      <x:c r="T187" s="75" t="str">
        <x:f>IF($E187="","",IF(S187=0,R187,MAX(S187,CEILING(R187,SUMIFS('Master_Rules'!$H$4:$H$200,'Master_Rules'!$D$4:$D$200,E187)))))</x:f>
      </x:c>
      <x:c r="U187" s="75" t="str">
        <x:f>IF($E187="","",T187*SUMIFS('Master_Rules'!$J$4:$J$200,'Master_Rules'!$D$4:$D$200,E187))</x:f>
      </x:c>
      <x:c r="V187" s="83" t="str">
        <x:f>IF($E187="","",IF(T187&gt;R187,"MOQ 조정",IF(K187="Y","필수품 확인","정상")))</x:f>
      </x:c>
    </x:row>
    <x:row r="188">
      <x:c r="A188" s="71"/>
      <x:c r="B188" s="71"/>
      <x:c r="C188" s="72"/>
      <x:c r="D188" s="72"/>
      <x:c r="E188" s="72"/>
      <x:c r="F188" s="72"/>
      <x:c r="G188" s="72"/>
      <x:c r="H188" s="81" t="str">
        <x:f>IF($E188="","",SUMIFS('Input_OL'!$K$4:$K$200,'Input_OL'!$C$4:$C$200,C188,'Input_OL'!$F$4:$F$200,B188))</x:f>
      </x:c>
      <x:c r="I188" s="81" t="str">
        <x:f>IF($E188="","",SUMIFS('Master_BOM'!$F$4:$F$200,'Master_BOM'!$A$4:$A$200,C188,'Master_BOM'!$C$4:$C$200,E188))</x:f>
      </x:c>
      <x:c r="J188" s="82" t="str">
        <x:f>IF($E188="","",SUMIFS('Master_BOM'!$G$4:$G$200,'Master_BOM'!$A$4:$A$200,C188,'Master_BOM'!$C$4:$C$200,E188))</x:f>
      </x:c>
      <x:c r="K188" s="83" t="str">
        <x:f>IF($E188="","",SUMIFS('Master_BOM'!$H$4:$H$200,'Master_BOM'!$A$4:$A$200,C188,'Master_BOM'!$C$4:$C$200,E188))</x:f>
      </x:c>
      <x:c r="L188" s="75" t="str">
        <x:f>IF($E188="","",IF(K188="Y",H188*I188,H188*I188*J188))</x:f>
      </x:c>
      <x:c r="M188" s="75" t="str">
        <x:f>IF($E188="","",IFERROR(SUMIFS('Master_BOM'!$J$4:$J$200,'Master_BOM'!$C$4:$C$200,E188),0))</x:f>
      </x:c>
      <x:c r="N188" s="75" t="str">
        <x:f>IF($E188="","",L188+M188)</x:f>
      </x:c>
      <x:c r="O188" s="75" t="str">
        <x:f>IF($E188="","",SUMIFS('Input_Inventory'!$G$4:$G$200,'Input_Inventory'!$C$4:$C$200,E188))</x:f>
      </x:c>
      <x:c r="P188" s="75" t="str">
        <x:f>IF($E188="","",SUMIFS('Input_Inventory'!$L$4:$L$200,'Input_Inventory'!$C$4:$C$200,E188,'Input_Inventory'!$F$4:$F$200,B188))</x:f>
      </x:c>
      <x:c r="Q188" s="75" t="str">
        <x:f>IF($E188="","",O188+P188)</x:f>
      </x:c>
      <x:c r="R188" s="75" t="str">
        <x:f>IF($E188="","",MAX(0,N188-Q188))</x:f>
      </x:c>
      <x:c r="S188" s="75" t="str">
        <x:f>IF($E188="","",SUMIFS('Master_Rules'!$G$4:$G$200,'Master_Rules'!$D$4:$D$200,E188))</x:f>
      </x:c>
      <x:c r="T188" s="75" t="str">
        <x:f>IF($E188="","",IF(S188=0,R188,MAX(S188,CEILING(R188,SUMIFS('Master_Rules'!$H$4:$H$200,'Master_Rules'!$D$4:$D$200,E188)))))</x:f>
      </x:c>
      <x:c r="U188" s="75" t="str">
        <x:f>IF($E188="","",T188*SUMIFS('Master_Rules'!$J$4:$J$200,'Master_Rules'!$D$4:$D$200,E188))</x:f>
      </x:c>
      <x:c r="V188" s="83" t="str">
        <x:f>IF($E188="","",IF(T188&gt;R188,"MOQ 조정",IF(K188="Y","필수품 확인","정상")))</x:f>
      </x:c>
    </x:row>
    <x:row r="189">
      <x:c r="A189" s="71"/>
      <x:c r="B189" s="71"/>
      <x:c r="C189" s="72"/>
      <x:c r="D189" s="72"/>
      <x:c r="E189" s="72"/>
      <x:c r="F189" s="72"/>
      <x:c r="G189" s="72"/>
      <x:c r="H189" s="81" t="str">
        <x:f>IF($E189="","",SUMIFS('Input_OL'!$K$4:$K$200,'Input_OL'!$C$4:$C$200,C189,'Input_OL'!$F$4:$F$200,B189))</x:f>
      </x:c>
      <x:c r="I189" s="81" t="str">
        <x:f>IF($E189="","",SUMIFS('Master_BOM'!$F$4:$F$200,'Master_BOM'!$A$4:$A$200,C189,'Master_BOM'!$C$4:$C$200,E189))</x:f>
      </x:c>
      <x:c r="J189" s="82" t="str">
        <x:f>IF($E189="","",SUMIFS('Master_BOM'!$G$4:$G$200,'Master_BOM'!$A$4:$A$200,C189,'Master_BOM'!$C$4:$C$200,E189))</x:f>
      </x:c>
      <x:c r="K189" s="83" t="str">
        <x:f>IF($E189="","",SUMIFS('Master_BOM'!$H$4:$H$200,'Master_BOM'!$A$4:$A$200,C189,'Master_BOM'!$C$4:$C$200,E189))</x:f>
      </x:c>
      <x:c r="L189" s="75" t="str">
        <x:f>IF($E189="","",IF(K189="Y",H189*I189,H189*I189*J189))</x:f>
      </x:c>
      <x:c r="M189" s="75" t="str">
        <x:f>IF($E189="","",IFERROR(SUMIFS('Master_BOM'!$J$4:$J$200,'Master_BOM'!$C$4:$C$200,E189),0))</x:f>
      </x:c>
      <x:c r="N189" s="75" t="str">
        <x:f>IF($E189="","",L189+M189)</x:f>
      </x:c>
      <x:c r="O189" s="75" t="str">
        <x:f>IF($E189="","",SUMIFS('Input_Inventory'!$G$4:$G$200,'Input_Inventory'!$C$4:$C$200,E189))</x:f>
      </x:c>
      <x:c r="P189" s="75" t="str">
        <x:f>IF($E189="","",SUMIFS('Input_Inventory'!$L$4:$L$200,'Input_Inventory'!$C$4:$C$200,E189,'Input_Inventory'!$F$4:$F$200,B189))</x:f>
      </x:c>
      <x:c r="Q189" s="75" t="str">
        <x:f>IF($E189="","",O189+P189)</x:f>
      </x:c>
      <x:c r="R189" s="75" t="str">
        <x:f>IF($E189="","",MAX(0,N189-Q189))</x:f>
      </x:c>
      <x:c r="S189" s="75" t="str">
        <x:f>IF($E189="","",SUMIFS('Master_Rules'!$G$4:$G$200,'Master_Rules'!$D$4:$D$200,E189))</x:f>
      </x:c>
      <x:c r="T189" s="75" t="str">
        <x:f>IF($E189="","",IF(S189=0,R189,MAX(S189,CEILING(R189,SUMIFS('Master_Rules'!$H$4:$H$200,'Master_Rules'!$D$4:$D$200,E189)))))</x:f>
      </x:c>
      <x:c r="U189" s="75" t="str">
        <x:f>IF($E189="","",T189*SUMIFS('Master_Rules'!$J$4:$J$200,'Master_Rules'!$D$4:$D$200,E189))</x:f>
      </x:c>
      <x:c r="V189" s="83" t="str">
        <x:f>IF($E189="","",IF(T189&gt;R189,"MOQ 조정",IF(K189="Y","필수품 확인","정상")))</x:f>
      </x:c>
    </x:row>
    <x:row r="190">
      <x:c r="A190" s="71"/>
      <x:c r="B190" s="71"/>
      <x:c r="C190" s="72"/>
      <x:c r="D190" s="72"/>
      <x:c r="E190" s="72"/>
      <x:c r="F190" s="72"/>
      <x:c r="G190" s="72"/>
      <x:c r="H190" s="81" t="str">
        <x:f>IF($E190="","",SUMIFS('Input_OL'!$K$4:$K$200,'Input_OL'!$C$4:$C$200,C190,'Input_OL'!$F$4:$F$200,B190))</x:f>
      </x:c>
      <x:c r="I190" s="81" t="str">
        <x:f>IF($E190="","",SUMIFS('Master_BOM'!$F$4:$F$200,'Master_BOM'!$A$4:$A$200,C190,'Master_BOM'!$C$4:$C$200,E190))</x:f>
      </x:c>
      <x:c r="J190" s="82" t="str">
        <x:f>IF($E190="","",SUMIFS('Master_BOM'!$G$4:$G$200,'Master_BOM'!$A$4:$A$200,C190,'Master_BOM'!$C$4:$C$200,E190))</x:f>
      </x:c>
      <x:c r="K190" s="83" t="str">
        <x:f>IF($E190="","",SUMIFS('Master_BOM'!$H$4:$H$200,'Master_BOM'!$A$4:$A$200,C190,'Master_BOM'!$C$4:$C$200,E190))</x:f>
      </x:c>
      <x:c r="L190" s="75" t="str">
        <x:f>IF($E190="","",IF(K190="Y",H190*I190,H190*I190*J190))</x:f>
      </x:c>
      <x:c r="M190" s="75" t="str">
        <x:f>IF($E190="","",IFERROR(SUMIFS('Master_BOM'!$J$4:$J$200,'Master_BOM'!$C$4:$C$200,E190),0))</x:f>
      </x:c>
      <x:c r="N190" s="75" t="str">
        <x:f>IF($E190="","",L190+M190)</x:f>
      </x:c>
      <x:c r="O190" s="75" t="str">
        <x:f>IF($E190="","",SUMIFS('Input_Inventory'!$G$4:$G$200,'Input_Inventory'!$C$4:$C$200,E190))</x:f>
      </x:c>
      <x:c r="P190" s="75" t="str">
        <x:f>IF($E190="","",SUMIFS('Input_Inventory'!$L$4:$L$200,'Input_Inventory'!$C$4:$C$200,E190,'Input_Inventory'!$F$4:$F$200,B190))</x:f>
      </x:c>
      <x:c r="Q190" s="75" t="str">
        <x:f>IF($E190="","",O190+P190)</x:f>
      </x:c>
      <x:c r="R190" s="75" t="str">
        <x:f>IF($E190="","",MAX(0,N190-Q190))</x:f>
      </x:c>
      <x:c r="S190" s="75" t="str">
        <x:f>IF($E190="","",SUMIFS('Master_Rules'!$G$4:$G$200,'Master_Rules'!$D$4:$D$200,E190))</x:f>
      </x:c>
      <x:c r="T190" s="75" t="str">
        <x:f>IF($E190="","",IF(S190=0,R190,MAX(S190,CEILING(R190,SUMIFS('Master_Rules'!$H$4:$H$200,'Master_Rules'!$D$4:$D$200,E190)))))</x:f>
      </x:c>
      <x:c r="U190" s="75" t="str">
        <x:f>IF($E190="","",T190*SUMIFS('Master_Rules'!$J$4:$J$200,'Master_Rules'!$D$4:$D$200,E190))</x:f>
      </x:c>
      <x:c r="V190" s="83" t="str">
        <x:f>IF($E190="","",IF(T190&gt;R190,"MOQ 조정",IF(K190="Y","필수품 확인","정상")))</x:f>
      </x:c>
    </x:row>
    <x:row r="191">
      <x:c r="A191" s="71"/>
      <x:c r="B191" s="71"/>
      <x:c r="C191" s="72"/>
      <x:c r="D191" s="72"/>
      <x:c r="E191" s="72"/>
      <x:c r="F191" s="72"/>
      <x:c r="G191" s="72"/>
      <x:c r="H191" s="81" t="str">
        <x:f>IF($E191="","",SUMIFS('Input_OL'!$K$4:$K$200,'Input_OL'!$C$4:$C$200,C191,'Input_OL'!$F$4:$F$200,B191))</x:f>
      </x:c>
      <x:c r="I191" s="81" t="str">
        <x:f>IF($E191="","",SUMIFS('Master_BOM'!$F$4:$F$200,'Master_BOM'!$A$4:$A$200,C191,'Master_BOM'!$C$4:$C$200,E191))</x:f>
      </x:c>
      <x:c r="J191" s="82" t="str">
        <x:f>IF($E191="","",SUMIFS('Master_BOM'!$G$4:$G$200,'Master_BOM'!$A$4:$A$200,C191,'Master_BOM'!$C$4:$C$200,E191))</x:f>
      </x:c>
      <x:c r="K191" s="83" t="str">
        <x:f>IF($E191="","",SUMIFS('Master_BOM'!$H$4:$H$200,'Master_BOM'!$A$4:$A$200,C191,'Master_BOM'!$C$4:$C$200,E191))</x:f>
      </x:c>
      <x:c r="L191" s="75" t="str">
        <x:f>IF($E191="","",IF(K191="Y",H191*I191,H191*I191*J191))</x:f>
      </x:c>
      <x:c r="M191" s="75" t="str">
        <x:f>IF($E191="","",IFERROR(SUMIFS('Master_BOM'!$J$4:$J$200,'Master_BOM'!$C$4:$C$200,E191),0))</x:f>
      </x:c>
      <x:c r="N191" s="75" t="str">
        <x:f>IF($E191="","",L191+M191)</x:f>
      </x:c>
      <x:c r="O191" s="75" t="str">
        <x:f>IF($E191="","",SUMIFS('Input_Inventory'!$G$4:$G$200,'Input_Inventory'!$C$4:$C$200,E191))</x:f>
      </x:c>
      <x:c r="P191" s="75" t="str">
        <x:f>IF($E191="","",SUMIFS('Input_Inventory'!$L$4:$L$200,'Input_Inventory'!$C$4:$C$200,E191,'Input_Inventory'!$F$4:$F$200,B191))</x:f>
      </x:c>
      <x:c r="Q191" s="75" t="str">
        <x:f>IF($E191="","",O191+P191)</x:f>
      </x:c>
      <x:c r="R191" s="75" t="str">
        <x:f>IF($E191="","",MAX(0,N191-Q191))</x:f>
      </x:c>
      <x:c r="S191" s="75" t="str">
        <x:f>IF($E191="","",SUMIFS('Master_Rules'!$G$4:$G$200,'Master_Rules'!$D$4:$D$200,E191))</x:f>
      </x:c>
      <x:c r="T191" s="75" t="str">
        <x:f>IF($E191="","",IF(S191=0,R191,MAX(S191,CEILING(R191,SUMIFS('Master_Rules'!$H$4:$H$200,'Master_Rules'!$D$4:$D$200,E191)))))</x:f>
      </x:c>
      <x:c r="U191" s="75" t="str">
        <x:f>IF($E191="","",T191*SUMIFS('Master_Rules'!$J$4:$J$200,'Master_Rules'!$D$4:$D$200,E191))</x:f>
      </x:c>
      <x:c r="V191" s="83" t="str">
        <x:f>IF($E191="","",IF(T191&gt;R191,"MOQ 조정",IF(K191="Y","필수품 확인","정상")))</x:f>
      </x:c>
    </x:row>
    <x:row r="192">
      <x:c r="A192" s="71"/>
      <x:c r="B192" s="71"/>
      <x:c r="C192" s="72"/>
      <x:c r="D192" s="72"/>
      <x:c r="E192" s="72"/>
      <x:c r="F192" s="72"/>
      <x:c r="G192" s="72"/>
      <x:c r="H192" s="81" t="str">
        <x:f>IF($E192="","",SUMIFS('Input_OL'!$K$4:$K$200,'Input_OL'!$C$4:$C$200,C192,'Input_OL'!$F$4:$F$200,B192))</x:f>
      </x:c>
      <x:c r="I192" s="81" t="str">
        <x:f>IF($E192="","",SUMIFS('Master_BOM'!$F$4:$F$200,'Master_BOM'!$A$4:$A$200,C192,'Master_BOM'!$C$4:$C$200,E192))</x:f>
      </x:c>
      <x:c r="J192" s="82" t="str">
        <x:f>IF($E192="","",SUMIFS('Master_BOM'!$G$4:$G$200,'Master_BOM'!$A$4:$A$200,C192,'Master_BOM'!$C$4:$C$200,E192))</x:f>
      </x:c>
      <x:c r="K192" s="83" t="str">
        <x:f>IF($E192="","",SUMIFS('Master_BOM'!$H$4:$H$200,'Master_BOM'!$A$4:$A$200,C192,'Master_BOM'!$C$4:$C$200,E192))</x:f>
      </x:c>
      <x:c r="L192" s="75" t="str">
        <x:f>IF($E192="","",IF(K192="Y",H192*I192,H192*I192*J192))</x:f>
      </x:c>
      <x:c r="M192" s="75" t="str">
        <x:f>IF($E192="","",IFERROR(SUMIFS('Master_BOM'!$J$4:$J$200,'Master_BOM'!$C$4:$C$200,E192),0))</x:f>
      </x:c>
      <x:c r="N192" s="75" t="str">
        <x:f>IF($E192="","",L192+M192)</x:f>
      </x:c>
      <x:c r="O192" s="75" t="str">
        <x:f>IF($E192="","",SUMIFS('Input_Inventory'!$G$4:$G$200,'Input_Inventory'!$C$4:$C$200,E192))</x:f>
      </x:c>
      <x:c r="P192" s="75" t="str">
        <x:f>IF($E192="","",SUMIFS('Input_Inventory'!$L$4:$L$200,'Input_Inventory'!$C$4:$C$200,E192,'Input_Inventory'!$F$4:$F$200,B192))</x:f>
      </x:c>
      <x:c r="Q192" s="75" t="str">
        <x:f>IF($E192="","",O192+P192)</x:f>
      </x:c>
      <x:c r="R192" s="75" t="str">
        <x:f>IF($E192="","",MAX(0,N192-Q192))</x:f>
      </x:c>
      <x:c r="S192" s="75" t="str">
        <x:f>IF($E192="","",SUMIFS('Master_Rules'!$G$4:$G$200,'Master_Rules'!$D$4:$D$200,E192))</x:f>
      </x:c>
      <x:c r="T192" s="75" t="str">
        <x:f>IF($E192="","",IF(S192=0,R192,MAX(S192,CEILING(R192,SUMIFS('Master_Rules'!$H$4:$H$200,'Master_Rules'!$D$4:$D$200,E192)))))</x:f>
      </x:c>
      <x:c r="U192" s="75" t="str">
        <x:f>IF($E192="","",T192*SUMIFS('Master_Rules'!$J$4:$J$200,'Master_Rules'!$D$4:$D$200,E192))</x:f>
      </x:c>
      <x:c r="V192" s="83" t="str">
        <x:f>IF($E192="","",IF(T192&gt;R192,"MOQ 조정",IF(K192="Y","필수품 확인","정상")))</x:f>
      </x:c>
    </x:row>
    <x:row r="193">
      <x:c r="A193" s="71"/>
      <x:c r="B193" s="71"/>
      <x:c r="C193" s="72"/>
      <x:c r="D193" s="72"/>
      <x:c r="E193" s="72"/>
      <x:c r="F193" s="72"/>
      <x:c r="G193" s="72"/>
      <x:c r="H193" s="81" t="str">
        <x:f>IF($E193="","",SUMIFS('Input_OL'!$K$4:$K$200,'Input_OL'!$C$4:$C$200,C193,'Input_OL'!$F$4:$F$200,B193))</x:f>
      </x:c>
      <x:c r="I193" s="81" t="str">
        <x:f>IF($E193="","",SUMIFS('Master_BOM'!$F$4:$F$200,'Master_BOM'!$A$4:$A$200,C193,'Master_BOM'!$C$4:$C$200,E193))</x:f>
      </x:c>
      <x:c r="J193" s="82" t="str">
        <x:f>IF($E193="","",SUMIFS('Master_BOM'!$G$4:$G$200,'Master_BOM'!$A$4:$A$200,C193,'Master_BOM'!$C$4:$C$200,E193))</x:f>
      </x:c>
      <x:c r="K193" s="83" t="str">
        <x:f>IF($E193="","",SUMIFS('Master_BOM'!$H$4:$H$200,'Master_BOM'!$A$4:$A$200,C193,'Master_BOM'!$C$4:$C$200,E193))</x:f>
      </x:c>
      <x:c r="L193" s="75" t="str">
        <x:f>IF($E193="","",IF(K193="Y",H193*I193,H193*I193*J193))</x:f>
      </x:c>
      <x:c r="M193" s="75" t="str">
        <x:f>IF($E193="","",IFERROR(SUMIFS('Master_BOM'!$J$4:$J$200,'Master_BOM'!$C$4:$C$200,E193),0))</x:f>
      </x:c>
      <x:c r="N193" s="75" t="str">
        <x:f>IF($E193="","",L193+M193)</x:f>
      </x:c>
      <x:c r="O193" s="75" t="str">
        <x:f>IF($E193="","",SUMIFS('Input_Inventory'!$G$4:$G$200,'Input_Inventory'!$C$4:$C$200,E193))</x:f>
      </x:c>
      <x:c r="P193" s="75" t="str">
        <x:f>IF($E193="","",SUMIFS('Input_Inventory'!$L$4:$L$200,'Input_Inventory'!$C$4:$C$200,E193,'Input_Inventory'!$F$4:$F$200,B193))</x:f>
      </x:c>
      <x:c r="Q193" s="75" t="str">
        <x:f>IF($E193="","",O193+P193)</x:f>
      </x:c>
      <x:c r="R193" s="75" t="str">
        <x:f>IF($E193="","",MAX(0,N193-Q193))</x:f>
      </x:c>
      <x:c r="S193" s="75" t="str">
        <x:f>IF($E193="","",SUMIFS('Master_Rules'!$G$4:$G$200,'Master_Rules'!$D$4:$D$200,E193))</x:f>
      </x:c>
      <x:c r="T193" s="75" t="str">
        <x:f>IF($E193="","",IF(S193=0,R193,MAX(S193,CEILING(R193,SUMIFS('Master_Rules'!$H$4:$H$200,'Master_Rules'!$D$4:$D$200,E193)))))</x:f>
      </x:c>
      <x:c r="U193" s="75" t="str">
        <x:f>IF($E193="","",T193*SUMIFS('Master_Rules'!$J$4:$J$200,'Master_Rules'!$D$4:$D$200,E193))</x:f>
      </x:c>
      <x:c r="V193" s="83" t="str">
        <x:f>IF($E193="","",IF(T193&gt;R193,"MOQ 조정",IF(K193="Y","필수품 확인","정상")))</x:f>
      </x:c>
    </x:row>
    <x:row r="194">
      <x:c r="A194" s="71"/>
      <x:c r="B194" s="71"/>
      <x:c r="C194" s="72"/>
      <x:c r="D194" s="72"/>
      <x:c r="E194" s="72"/>
      <x:c r="F194" s="72"/>
      <x:c r="G194" s="72"/>
      <x:c r="H194" s="81" t="str">
        <x:f>IF($E194="","",SUMIFS('Input_OL'!$K$4:$K$200,'Input_OL'!$C$4:$C$200,C194,'Input_OL'!$F$4:$F$200,B194))</x:f>
      </x:c>
      <x:c r="I194" s="81" t="str">
        <x:f>IF($E194="","",SUMIFS('Master_BOM'!$F$4:$F$200,'Master_BOM'!$A$4:$A$200,C194,'Master_BOM'!$C$4:$C$200,E194))</x:f>
      </x:c>
      <x:c r="J194" s="82" t="str">
        <x:f>IF($E194="","",SUMIFS('Master_BOM'!$G$4:$G$200,'Master_BOM'!$A$4:$A$200,C194,'Master_BOM'!$C$4:$C$200,E194))</x:f>
      </x:c>
      <x:c r="K194" s="83" t="str">
        <x:f>IF($E194="","",SUMIFS('Master_BOM'!$H$4:$H$200,'Master_BOM'!$A$4:$A$200,C194,'Master_BOM'!$C$4:$C$200,E194))</x:f>
      </x:c>
      <x:c r="L194" s="75" t="str">
        <x:f>IF($E194="","",IF(K194="Y",H194*I194,H194*I194*J194))</x:f>
      </x:c>
      <x:c r="M194" s="75" t="str">
        <x:f>IF($E194="","",IFERROR(SUMIFS('Master_BOM'!$J$4:$J$200,'Master_BOM'!$C$4:$C$200,E194),0))</x:f>
      </x:c>
      <x:c r="N194" s="75" t="str">
        <x:f>IF($E194="","",L194+M194)</x:f>
      </x:c>
      <x:c r="O194" s="75" t="str">
        <x:f>IF($E194="","",SUMIFS('Input_Inventory'!$G$4:$G$200,'Input_Inventory'!$C$4:$C$200,E194))</x:f>
      </x:c>
      <x:c r="P194" s="75" t="str">
        <x:f>IF($E194="","",SUMIFS('Input_Inventory'!$L$4:$L$200,'Input_Inventory'!$C$4:$C$200,E194,'Input_Inventory'!$F$4:$F$200,B194))</x:f>
      </x:c>
      <x:c r="Q194" s="75" t="str">
        <x:f>IF($E194="","",O194+P194)</x:f>
      </x:c>
      <x:c r="R194" s="75" t="str">
        <x:f>IF($E194="","",MAX(0,N194-Q194))</x:f>
      </x:c>
      <x:c r="S194" s="75" t="str">
        <x:f>IF($E194="","",SUMIFS('Master_Rules'!$G$4:$G$200,'Master_Rules'!$D$4:$D$200,E194))</x:f>
      </x:c>
      <x:c r="T194" s="75" t="str">
        <x:f>IF($E194="","",IF(S194=0,R194,MAX(S194,CEILING(R194,SUMIFS('Master_Rules'!$H$4:$H$200,'Master_Rules'!$D$4:$D$200,E194)))))</x:f>
      </x:c>
      <x:c r="U194" s="75" t="str">
        <x:f>IF($E194="","",T194*SUMIFS('Master_Rules'!$J$4:$J$200,'Master_Rules'!$D$4:$D$200,E194))</x:f>
      </x:c>
      <x:c r="V194" s="83" t="str">
        <x:f>IF($E194="","",IF(T194&gt;R194,"MOQ 조정",IF(K194="Y","필수품 확인","정상")))</x:f>
      </x:c>
    </x:row>
    <x:row r="195">
      <x:c r="A195" s="71"/>
      <x:c r="B195" s="71"/>
      <x:c r="C195" s="72"/>
      <x:c r="D195" s="72"/>
      <x:c r="E195" s="72"/>
      <x:c r="F195" s="72"/>
      <x:c r="G195" s="72"/>
      <x:c r="H195" s="81" t="str">
        <x:f>IF($E195="","",SUMIFS('Input_OL'!$K$4:$K$200,'Input_OL'!$C$4:$C$200,C195,'Input_OL'!$F$4:$F$200,B195))</x:f>
      </x:c>
      <x:c r="I195" s="81" t="str">
        <x:f>IF($E195="","",SUMIFS('Master_BOM'!$F$4:$F$200,'Master_BOM'!$A$4:$A$200,C195,'Master_BOM'!$C$4:$C$200,E195))</x:f>
      </x:c>
      <x:c r="J195" s="82" t="str">
        <x:f>IF($E195="","",SUMIFS('Master_BOM'!$G$4:$G$200,'Master_BOM'!$A$4:$A$200,C195,'Master_BOM'!$C$4:$C$200,E195))</x:f>
      </x:c>
      <x:c r="K195" s="83" t="str">
        <x:f>IF($E195="","",SUMIFS('Master_BOM'!$H$4:$H$200,'Master_BOM'!$A$4:$A$200,C195,'Master_BOM'!$C$4:$C$200,E195))</x:f>
      </x:c>
      <x:c r="L195" s="75" t="str">
        <x:f>IF($E195="","",IF(K195="Y",H195*I195,H195*I195*J195))</x:f>
      </x:c>
      <x:c r="M195" s="75" t="str">
        <x:f>IF($E195="","",IFERROR(SUMIFS('Master_BOM'!$J$4:$J$200,'Master_BOM'!$C$4:$C$200,E195),0))</x:f>
      </x:c>
      <x:c r="N195" s="75" t="str">
        <x:f>IF($E195="","",L195+M195)</x:f>
      </x:c>
      <x:c r="O195" s="75" t="str">
        <x:f>IF($E195="","",SUMIFS('Input_Inventory'!$G$4:$G$200,'Input_Inventory'!$C$4:$C$200,E195))</x:f>
      </x:c>
      <x:c r="P195" s="75" t="str">
        <x:f>IF($E195="","",SUMIFS('Input_Inventory'!$L$4:$L$200,'Input_Inventory'!$C$4:$C$200,E195,'Input_Inventory'!$F$4:$F$200,B195))</x:f>
      </x:c>
      <x:c r="Q195" s="75" t="str">
        <x:f>IF($E195="","",O195+P195)</x:f>
      </x:c>
      <x:c r="R195" s="75" t="str">
        <x:f>IF($E195="","",MAX(0,N195-Q195))</x:f>
      </x:c>
      <x:c r="S195" s="75" t="str">
        <x:f>IF($E195="","",SUMIFS('Master_Rules'!$G$4:$G$200,'Master_Rules'!$D$4:$D$200,E195))</x:f>
      </x:c>
      <x:c r="T195" s="75" t="str">
        <x:f>IF($E195="","",IF(S195=0,R195,MAX(S195,CEILING(R195,SUMIFS('Master_Rules'!$H$4:$H$200,'Master_Rules'!$D$4:$D$200,E195)))))</x:f>
      </x:c>
      <x:c r="U195" s="75" t="str">
        <x:f>IF($E195="","",T195*SUMIFS('Master_Rules'!$J$4:$J$200,'Master_Rules'!$D$4:$D$200,E195))</x:f>
      </x:c>
      <x:c r="V195" s="83" t="str">
        <x:f>IF($E195="","",IF(T195&gt;R195,"MOQ 조정",IF(K195="Y","필수품 확인","정상")))</x:f>
      </x:c>
    </x:row>
    <x:row r="196">
      <x:c r="A196" s="71"/>
      <x:c r="B196" s="71"/>
      <x:c r="C196" s="72"/>
      <x:c r="D196" s="72"/>
      <x:c r="E196" s="72"/>
      <x:c r="F196" s="72"/>
      <x:c r="G196" s="72"/>
      <x:c r="H196" s="81" t="str">
        <x:f>IF($E196="","",SUMIFS('Input_OL'!$K$4:$K$200,'Input_OL'!$C$4:$C$200,C196,'Input_OL'!$F$4:$F$200,B196))</x:f>
      </x:c>
      <x:c r="I196" s="81" t="str">
        <x:f>IF($E196="","",SUMIFS('Master_BOM'!$F$4:$F$200,'Master_BOM'!$A$4:$A$200,C196,'Master_BOM'!$C$4:$C$200,E196))</x:f>
      </x:c>
      <x:c r="J196" s="82" t="str">
        <x:f>IF($E196="","",SUMIFS('Master_BOM'!$G$4:$G$200,'Master_BOM'!$A$4:$A$200,C196,'Master_BOM'!$C$4:$C$200,E196))</x:f>
      </x:c>
      <x:c r="K196" s="83" t="str">
        <x:f>IF($E196="","",SUMIFS('Master_BOM'!$H$4:$H$200,'Master_BOM'!$A$4:$A$200,C196,'Master_BOM'!$C$4:$C$200,E196))</x:f>
      </x:c>
      <x:c r="L196" s="75" t="str">
        <x:f>IF($E196="","",IF(K196="Y",H196*I196,H196*I196*J196))</x:f>
      </x:c>
      <x:c r="M196" s="75" t="str">
        <x:f>IF($E196="","",IFERROR(SUMIFS('Master_BOM'!$J$4:$J$200,'Master_BOM'!$C$4:$C$200,E196),0))</x:f>
      </x:c>
      <x:c r="N196" s="75" t="str">
        <x:f>IF($E196="","",L196+M196)</x:f>
      </x:c>
      <x:c r="O196" s="75" t="str">
        <x:f>IF($E196="","",SUMIFS('Input_Inventory'!$G$4:$G$200,'Input_Inventory'!$C$4:$C$200,E196))</x:f>
      </x:c>
      <x:c r="P196" s="75" t="str">
        <x:f>IF($E196="","",SUMIFS('Input_Inventory'!$L$4:$L$200,'Input_Inventory'!$C$4:$C$200,E196,'Input_Inventory'!$F$4:$F$200,B196))</x:f>
      </x:c>
      <x:c r="Q196" s="75" t="str">
        <x:f>IF($E196="","",O196+P196)</x:f>
      </x:c>
      <x:c r="R196" s="75" t="str">
        <x:f>IF($E196="","",MAX(0,N196-Q196))</x:f>
      </x:c>
      <x:c r="S196" s="75" t="str">
        <x:f>IF($E196="","",SUMIFS('Master_Rules'!$G$4:$G$200,'Master_Rules'!$D$4:$D$200,E196))</x:f>
      </x:c>
      <x:c r="T196" s="75" t="str">
        <x:f>IF($E196="","",IF(S196=0,R196,MAX(S196,CEILING(R196,SUMIFS('Master_Rules'!$H$4:$H$200,'Master_Rules'!$D$4:$D$200,E196)))))</x:f>
      </x:c>
      <x:c r="U196" s="75" t="str">
        <x:f>IF($E196="","",T196*SUMIFS('Master_Rules'!$J$4:$J$200,'Master_Rules'!$D$4:$D$200,E196))</x:f>
      </x:c>
      <x:c r="V196" s="83" t="str">
        <x:f>IF($E196="","",IF(T196&gt;R196,"MOQ 조정",IF(K196="Y","필수품 확인","정상")))</x:f>
      </x:c>
    </x:row>
    <x:row r="197">
      <x:c r="A197" s="71"/>
      <x:c r="B197" s="71"/>
      <x:c r="C197" s="72"/>
      <x:c r="D197" s="72"/>
      <x:c r="E197" s="72"/>
      <x:c r="F197" s="72"/>
      <x:c r="G197" s="72"/>
      <x:c r="H197" s="81" t="str">
        <x:f>IF($E197="","",SUMIFS('Input_OL'!$K$4:$K$200,'Input_OL'!$C$4:$C$200,C197,'Input_OL'!$F$4:$F$200,B197))</x:f>
      </x:c>
      <x:c r="I197" s="81" t="str">
        <x:f>IF($E197="","",SUMIFS('Master_BOM'!$F$4:$F$200,'Master_BOM'!$A$4:$A$200,C197,'Master_BOM'!$C$4:$C$200,E197))</x:f>
      </x:c>
      <x:c r="J197" s="82" t="str">
        <x:f>IF($E197="","",SUMIFS('Master_BOM'!$G$4:$G$200,'Master_BOM'!$A$4:$A$200,C197,'Master_BOM'!$C$4:$C$200,E197))</x:f>
      </x:c>
      <x:c r="K197" s="83" t="str">
        <x:f>IF($E197="","",SUMIFS('Master_BOM'!$H$4:$H$200,'Master_BOM'!$A$4:$A$200,C197,'Master_BOM'!$C$4:$C$200,E197))</x:f>
      </x:c>
      <x:c r="L197" s="75" t="str">
        <x:f>IF($E197="","",IF(K197="Y",H197*I197,H197*I197*J197))</x:f>
      </x:c>
      <x:c r="M197" s="75" t="str">
        <x:f>IF($E197="","",IFERROR(SUMIFS('Master_BOM'!$J$4:$J$200,'Master_BOM'!$C$4:$C$200,E197),0))</x:f>
      </x:c>
      <x:c r="N197" s="75" t="str">
        <x:f>IF($E197="","",L197+M197)</x:f>
      </x:c>
      <x:c r="O197" s="75" t="str">
        <x:f>IF($E197="","",SUMIFS('Input_Inventory'!$G$4:$G$200,'Input_Inventory'!$C$4:$C$200,E197))</x:f>
      </x:c>
      <x:c r="P197" s="75" t="str">
        <x:f>IF($E197="","",SUMIFS('Input_Inventory'!$L$4:$L$200,'Input_Inventory'!$C$4:$C$200,E197,'Input_Inventory'!$F$4:$F$200,B197))</x:f>
      </x:c>
      <x:c r="Q197" s="75" t="str">
        <x:f>IF($E197="","",O197+P197)</x:f>
      </x:c>
      <x:c r="R197" s="75" t="str">
        <x:f>IF($E197="","",MAX(0,N197-Q197))</x:f>
      </x:c>
      <x:c r="S197" s="75" t="str">
        <x:f>IF($E197="","",SUMIFS('Master_Rules'!$G$4:$G$200,'Master_Rules'!$D$4:$D$200,E197))</x:f>
      </x:c>
      <x:c r="T197" s="75" t="str">
        <x:f>IF($E197="","",IF(S197=0,R197,MAX(S197,CEILING(R197,SUMIFS('Master_Rules'!$H$4:$H$200,'Master_Rules'!$D$4:$D$200,E197)))))</x:f>
      </x:c>
      <x:c r="U197" s="75" t="str">
        <x:f>IF($E197="","",T197*SUMIFS('Master_Rules'!$J$4:$J$200,'Master_Rules'!$D$4:$D$200,E197))</x:f>
      </x:c>
      <x:c r="V197" s="83" t="str">
        <x:f>IF($E197="","",IF(T197&gt;R197,"MOQ 조정",IF(K197="Y","필수품 확인","정상")))</x:f>
      </x:c>
    </x:row>
    <x:row r="198">
      <x:c r="A198" s="71"/>
      <x:c r="B198" s="71"/>
      <x:c r="C198" s="72"/>
      <x:c r="D198" s="72"/>
      <x:c r="E198" s="72"/>
      <x:c r="F198" s="72"/>
      <x:c r="G198" s="72"/>
      <x:c r="H198" s="81" t="str">
        <x:f>IF($E198="","",SUMIFS('Input_OL'!$K$4:$K$200,'Input_OL'!$C$4:$C$200,C198,'Input_OL'!$F$4:$F$200,B198))</x:f>
      </x:c>
      <x:c r="I198" s="81" t="str">
        <x:f>IF($E198="","",SUMIFS('Master_BOM'!$F$4:$F$200,'Master_BOM'!$A$4:$A$200,C198,'Master_BOM'!$C$4:$C$200,E198))</x:f>
      </x:c>
      <x:c r="J198" s="82" t="str">
        <x:f>IF($E198="","",SUMIFS('Master_BOM'!$G$4:$G$200,'Master_BOM'!$A$4:$A$200,C198,'Master_BOM'!$C$4:$C$200,E198))</x:f>
      </x:c>
      <x:c r="K198" s="83" t="str">
        <x:f>IF($E198="","",SUMIFS('Master_BOM'!$H$4:$H$200,'Master_BOM'!$A$4:$A$200,C198,'Master_BOM'!$C$4:$C$200,E198))</x:f>
      </x:c>
      <x:c r="L198" s="75" t="str">
        <x:f>IF($E198="","",IF(K198="Y",H198*I198,H198*I198*J198))</x:f>
      </x:c>
      <x:c r="M198" s="75" t="str">
        <x:f>IF($E198="","",IFERROR(SUMIFS('Master_BOM'!$J$4:$J$200,'Master_BOM'!$C$4:$C$200,E198),0))</x:f>
      </x:c>
      <x:c r="N198" s="75" t="str">
        <x:f>IF($E198="","",L198+M198)</x:f>
      </x:c>
      <x:c r="O198" s="75" t="str">
        <x:f>IF($E198="","",SUMIFS('Input_Inventory'!$G$4:$G$200,'Input_Inventory'!$C$4:$C$200,E198))</x:f>
      </x:c>
      <x:c r="P198" s="75" t="str">
        <x:f>IF($E198="","",SUMIFS('Input_Inventory'!$L$4:$L$200,'Input_Inventory'!$C$4:$C$200,E198,'Input_Inventory'!$F$4:$F$200,B198))</x:f>
      </x:c>
      <x:c r="Q198" s="75" t="str">
        <x:f>IF($E198="","",O198+P198)</x:f>
      </x:c>
      <x:c r="R198" s="75" t="str">
        <x:f>IF($E198="","",MAX(0,N198-Q198))</x:f>
      </x:c>
      <x:c r="S198" s="75" t="str">
        <x:f>IF($E198="","",SUMIFS('Master_Rules'!$G$4:$G$200,'Master_Rules'!$D$4:$D$200,E198))</x:f>
      </x:c>
      <x:c r="T198" s="75" t="str">
        <x:f>IF($E198="","",IF(S198=0,R198,MAX(S198,CEILING(R198,SUMIFS('Master_Rules'!$H$4:$H$200,'Master_Rules'!$D$4:$D$200,E198)))))</x:f>
      </x:c>
      <x:c r="U198" s="75" t="str">
        <x:f>IF($E198="","",T198*SUMIFS('Master_Rules'!$J$4:$J$200,'Master_Rules'!$D$4:$D$200,E198))</x:f>
      </x:c>
      <x:c r="V198" s="83" t="str">
        <x:f>IF($E198="","",IF(T198&gt;R198,"MOQ 조정",IF(K198="Y","필수품 확인","정상")))</x:f>
      </x:c>
    </x:row>
    <x:row r="199">
      <x:c r="A199" s="71"/>
      <x:c r="B199" s="71"/>
      <x:c r="C199" s="72"/>
      <x:c r="D199" s="72"/>
      <x:c r="E199" s="72"/>
      <x:c r="F199" s="72"/>
      <x:c r="G199" s="72"/>
      <x:c r="H199" s="81" t="str">
        <x:f>IF($E199="","",SUMIFS('Input_OL'!$K$4:$K$200,'Input_OL'!$C$4:$C$200,C199,'Input_OL'!$F$4:$F$200,B199))</x:f>
      </x:c>
      <x:c r="I199" s="81" t="str">
        <x:f>IF($E199="","",SUMIFS('Master_BOM'!$F$4:$F$200,'Master_BOM'!$A$4:$A$200,C199,'Master_BOM'!$C$4:$C$200,E199))</x:f>
      </x:c>
      <x:c r="J199" s="82" t="str">
        <x:f>IF($E199="","",SUMIFS('Master_BOM'!$G$4:$G$200,'Master_BOM'!$A$4:$A$200,C199,'Master_BOM'!$C$4:$C$200,E199))</x:f>
      </x:c>
      <x:c r="K199" s="83" t="str">
        <x:f>IF($E199="","",SUMIFS('Master_BOM'!$H$4:$H$200,'Master_BOM'!$A$4:$A$200,C199,'Master_BOM'!$C$4:$C$200,E199))</x:f>
      </x:c>
      <x:c r="L199" s="75" t="str">
        <x:f>IF($E199="","",IF(K199="Y",H199*I199,H199*I199*J199))</x:f>
      </x:c>
      <x:c r="M199" s="75" t="str">
        <x:f>IF($E199="","",IFERROR(SUMIFS('Master_BOM'!$J$4:$J$200,'Master_BOM'!$C$4:$C$200,E199),0))</x:f>
      </x:c>
      <x:c r="N199" s="75" t="str">
        <x:f>IF($E199="","",L199+M199)</x:f>
      </x:c>
      <x:c r="O199" s="75" t="str">
        <x:f>IF($E199="","",SUMIFS('Input_Inventory'!$G$4:$G$200,'Input_Inventory'!$C$4:$C$200,E199))</x:f>
      </x:c>
      <x:c r="P199" s="75" t="str">
        <x:f>IF($E199="","",SUMIFS('Input_Inventory'!$L$4:$L$200,'Input_Inventory'!$C$4:$C$200,E199,'Input_Inventory'!$F$4:$F$200,B199))</x:f>
      </x:c>
      <x:c r="Q199" s="75" t="str">
        <x:f>IF($E199="","",O199+P199)</x:f>
      </x:c>
      <x:c r="R199" s="75" t="str">
        <x:f>IF($E199="","",MAX(0,N199-Q199))</x:f>
      </x:c>
      <x:c r="S199" s="75" t="str">
        <x:f>IF($E199="","",SUMIFS('Master_Rules'!$G$4:$G$200,'Master_Rules'!$D$4:$D$200,E199))</x:f>
      </x:c>
      <x:c r="T199" s="75" t="str">
        <x:f>IF($E199="","",IF(S199=0,R199,MAX(S199,CEILING(R199,SUMIFS('Master_Rules'!$H$4:$H$200,'Master_Rules'!$D$4:$D$200,E199)))))</x:f>
      </x:c>
      <x:c r="U199" s="75" t="str">
        <x:f>IF($E199="","",T199*SUMIFS('Master_Rules'!$J$4:$J$200,'Master_Rules'!$D$4:$D$200,E199))</x:f>
      </x:c>
      <x:c r="V199" s="83" t="str">
        <x:f>IF($E199="","",IF(T199&gt;R199,"MOQ 조정",IF(K199="Y","필수품 확인","정상")))</x:f>
      </x:c>
    </x:row>
    <x:row r="200">
      <x:c r="A200" s="71"/>
      <x:c r="B200" s="71"/>
      <x:c r="C200" s="72"/>
      <x:c r="D200" s="72"/>
      <x:c r="E200" s="72"/>
      <x:c r="F200" s="72"/>
      <x:c r="G200" s="72"/>
      <x:c r="H200" s="81" t="str">
        <x:f>IF($E200="","",SUMIFS('Input_OL'!$K$4:$K$200,'Input_OL'!$C$4:$C$200,C200,'Input_OL'!$F$4:$F$200,B200))</x:f>
      </x:c>
      <x:c r="I200" s="81" t="str">
        <x:f>IF($E200="","",SUMIFS('Master_BOM'!$F$4:$F$200,'Master_BOM'!$A$4:$A$200,C200,'Master_BOM'!$C$4:$C$200,E200))</x:f>
      </x:c>
      <x:c r="J200" s="82" t="str">
        <x:f>IF($E200="","",SUMIFS('Master_BOM'!$G$4:$G$200,'Master_BOM'!$A$4:$A$200,C200,'Master_BOM'!$C$4:$C$200,E200))</x:f>
      </x:c>
      <x:c r="K200" s="83" t="str">
        <x:f>IF($E200="","",SUMIFS('Master_BOM'!$H$4:$H$200,'Master_BOM'!$A$4:$A$200,C200,'Master_BOM'!$C$4:$C$200,E200))</x:f>
      </x:c>
      <x:c r="L200" s="75" t="str">
        <x:f>IF($E200="","",IF(K200="Y",H200*I200,H200*I200*J200))</x:f>
      </x:c>
      <x:c r="M200" s="75" t="str">
        <x:f>IF($E200="","",IFERROR(SUMIFS('Master_BOM'!$J$4:$J$200,'Master_BOM'!$C$4:$C$200,E200),0))</x:f>
      </x:c>
      <x:c r="N200" s="75" t="str">
        <x:f>IF($E200="","",L200+M200)</x:f>
      </x:c>
      <x:c r="O200" s="75" t="str">
        <x:f>IF($E200="","",SUMIFS('Input_Inventory'!$G$4:$G$200,'Input_Inventory'!$C$4:$C$200,E200))</x:f>
      </x:c>
      <x:c r="P200" s="75" t="str">
        <x:f>IF($E200="","",SUMIFS('Input_Inventory'!$L$4:$L$200,'Input_Inventory'!$C$4:$C$200,E200,'Input_Inventory'!$F$4:$F$200,B200))</x:f>
      </x:c>
      <x:c r="Q200" s="75" t="str">
        <x:f>IF($E200="","",O200+P200)</x:f>
      </x:c>
      <x:c r="R200" s="75" t="str">
        <x:f>IF($E200="","",MAX(0,N200-Q200))</x:f>
      </x:c>
      <x:c r="S200" s="75" t="str">
        <x:f>IF($E200="","",SUMIFS('Master_Rules'!$G$4:$G$200,'Master_Rules'!$D$4:$D$200,E200))</x:f>
      </x:c>
      <x:c r="T200" s="75" t="str">
        <x:f>IF($E200="","",IF(S200=0,R200,MAX(S200,CEILING(R200,SUMIFS('Master_Rules'!$H$4:$H$200,'Master_Rules'!$D$4:$D$200,E200)))))</x:f>
      </x:c>
      <x:c r="U200" s="75" t="str">
        <x:f>IF($E200="","",T200*SUMIFS('Master_Rules'!$J$4:$J$200,'Master_Rules'!$D$4:$D$200,E200))</x:f>
      </x:c>
      <x:c r="V200" s="83" t="str">
        <x:f>IF($E200="","",IF(T200&gt;R200,"MOQ 조정",IF(K200="Y","필수품 확인","정상")))</x:f>
      </x:c>
    </x:row>
  </x:sheetData>
  <x:mergeCells>
    <x:mergeCell ref="A1:V1"/>
  </x:mergeCells>
  <x:pageMargins left="0.7" right="0.7" top="0.75" bottom="0.75" header="0.3" footer="0.3"/>
  <x:legacyDrawing xmlns:r="http://schemas.openxmlformats.org/officeDocument/2006/relationships" r:id="Rb2f5f2c34fea43f7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8" hidden="0" customWidth="1"/>
    <x:col min="10" max="10" width="14" hidden="0" customWidth="1"/>
    <x:col min="11" max="11" width="12" hidden="0" customWidth="1"/>
    <x:col min="12" max="12" width="14" hidden="0" customWidth="1"/>
    <x:col min="13" max="13" width="14" hidden="0" customWidth="1"/>
    <x:col min="14" max="14" width="20" hidden="0" customWidth="1"/>
    <x:col min="15" max="15" width="12" hidden="0" customWidth="1"/>
    <x:col min="16" max="16" width="16" hidden="0" customWidth="1"/>
  </x:cols>
  <x:sheetData>
    <x:row r="1" ht="30" customHeight="1">
      <x:c r="A1" s="93" t="str">
        <x:v>보고: 발주금액·전월/전년·OL 비교 및 승인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</x:row>
    <x:row r="3">
      <x:c r="A3" s="66" t="str">
        <x:v>경영진 요약</x:v>
      </x:c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</x:row>
    <x:row r="4">
      <x:c r="A4" s="67" t="str">
        <x:v>항목</x:v>
      </x:c>
      <x:c r="B4" s="67" t="str">
        <x:v>당월</x:v>
      </x:c>
      <x:c r="C4" s="67" t="str">
        <x:v>전월</x:v>
      </x:c>
      <x:c r="D4" s="67" t="str">
        <x:v>작년 동월</x:v>
      </x:c>
      <x:c r="E4" s="67" t="str">
        <x:v>당월-전월</x:v>
      </x:c>
      <x:c r="F4" s="67" t="str">
        <x:v>당월-작년 동월</x:v>
      </x:c>
      <x:c r="G4" s="67" t="str">
        <x:v>증감률(전월)</x:v>
      </x:c>
      <x:c r="H4" s="67" t="str">
        <x:v>비고</x:v>
      </x:c>
      <x:c r="I4" s="63"/>
      <x:c r="J4" s="63"/>
      <x:c r="K4" s="63"/>
      <x:c r="L4" s="63"/>
      <x:c r="M4" s="63"/>
      <x:c r="N4" s="63"/>
      <x:c r="O4" s="63"/>
      <x:c r="P4" s="63"/>
    </x:row>
    <x:row r="5">
      <x:c r="A5" s="68" t="str">
        <x:v>기기 발주금액</x:v>
      </x:c>
      <x:c r="B5" s="75" t="n">
        <x:f>SUM('Calc_Device'!$S$4:$S$200)</x:f>
        <x:v>79000000</x:v>
      </x:c>
      <x:c r="C5" s="73" t="n">
        <x:v>0</x:v>
      </x:c>
      <x:c r="D5" s="73" t="n">
        <x:v>0</x:v>
      </x:c>
      <x:c r="E5" s="75" t="n">
        <x:f>B5-C5</x:f>
        <x:v>79000000</x:v>
      </x:c>
      <x:c r="F5" s="75" t="n">
        <x:f>B5-D5</x:f>
        <x:v>79000000</x:v>
      </x:c>
      <x:c r="G5" s="84" t="n">
        <x:f>IFERROR(E5/C5,0)</x:f>
        <x:v>0</x:v>
      </x:c>
      <x:c r="H5" s="68" t="str">
        <x:v>자동 집계</x:v>
      </x:c>
      <x:c r="I5" s="63"/>
      <x:c r="J5" s="63"/>
      <x:c r="K5" s="63"/>
      <x:c r="L5" s="63"/>
      <x:c r="M5" s="63"/>
      <x:c r="N5" s="63"/>
      <x:c r="O5" s="63"/>
      <x:c r="P5" s="63"/>
    </x:row>
    <x:row r="6">
      <x:c r="A6" s="68" t="str">
        <x:v>옵션/부품/소모품 발주금액</x:v>
      </x:c>
      <x:c r="B6" s="75" t="n">
        <x:f>SUM('Calc_Option'!$U$4:$U$200)</x:f>
        <x:v>14500000</x:v>
      </x:c>
      <x:c r="C6" s="73" t="n">
        <x:v>0</x:v>
      </x:c>
      <x:c r="D6" s="73" t="n">
        <x:v>0</x:v>
      </x:c>
      <x:c r="E6" s="75" t="n">
        <x:f>B6-C6</x:f>
        <x:v>14500000</x:v>
      </x:c>
      <x:c r="F6" s="75" t="n">
        <x:f>B6-D6</x:f>
        <x:v>14500000</x:v>
      </x:c>
      <x:c r="G6" s="84" t="n">
        <x:f>IFERROR(E6/C6,0)</x:f>
        <x:v>0</x:v>
      </x:c>
      <x:c r="H6" s="68" t="str">
        <x:v>자동 집계</x:v>
      </x:c>
      <x:c r="I6" s="63"/>
      <x:c r="J6" s="63"/>
      <x:c r="K6" s="63"/>
      <x:c r="L6" s="63"/>
      <x:c r="M6" s="63"/>
      <x:c r="N6" s="63"/>
      <x:c r="O6" s="63"/>
      <x:c r="P6" s="63"/>
    </x:row>
    <x:row r="7">
      <x:c r="A7" s="63"/>
      <x:c r="B7" s="63"/>
      <x:c r="C7" s="63"/>
      <x:c r="D7" s="63"/>
      <x:c r="E7" s="63"/>
      <x:c r="F7" s="63"/>
      <x:c r="G7" s="63"/>
      <x:c r="H7" s="63"/>
      <x:c r="I7" s="63"/>
      <x:c r="J7" s="63"/>
      <x:c r="K7" s="63"/>
      <x:c r="L7" s="63"/>
      <x:c r="M7" s="63"/>
      <x:c r="N7" s="63"/>
      <x:c r="O7" s="63"/>
      <x:c r="P7" s="63"/>
    </x:row>
    <x:row r="8">
      <x:c r="A8" s="67" t="str">
        <x:v>분석항목</x:v>
      </x:c>
      <x:c r="B8" s="67" t="str">
        <x:v>기기</x:v>
      </x:c>
      <x:c r="C8" s="67" t="str">
        <x:v>옵션/부품/소모품</x:v>
      </x:c>
      <x:c r="D8" s="67" t="str">
        <x:v>합계</x:v>
      </x:c>
      <x:c r="E8" s="67" t="str">
        <x:v>전월 OL</x:v>
      </x:c>
      <x:c r="F8" s="67" t="str">
        <x:v>현재 제안량</x:v>
      </x:c>
      <x:c r="G8" s="67" t="str">
        <x:v>차이수량</x:v>
      </x:c>
      <x:c r="H8" s="67" t="str">
        <x:v>차이금액</x:v>
      </x:c>
      <x:c r="I8" s="67" t="str">
        <x:v>주요 차이사유</x:v>
      </x:c>
      <x:c r="J8" s="67" t="str">
        <x:v>사장 승인상태</x:v>
      </x:c>
      <x:c r="K8" s="67" t="str">
        <x:v>승인일</x:v>
      </x:c>
      <x:c r="L8" s="67" t="str">
        <x:v>승인자</x:v>
      </x:c>
      <x:c r="M8" s="67" t="str">
        <x:v>FX-LIVE 입력상태</x:v>
      </x:c>
      <x:c r="N8" s="67" t="str">
        <x:v>검증결과</x:v>
      </x:c>
      <x:c r="O8" s="67" t="str">
        <x:v>담당자</x:v>
      </x:c>
      <x:c r="P8" s="67" t="str">
        <x:v>비고</x:v>
      </x:c>
    </x:row>
    <x:row r="9">
      <x:c r="A9" s="68" t="str">
        <x:v>발주량</x:v>
      </x:c>
      <x:c r="B9" s="75" t="n">
        <x:f>SUM('Calc_Device'!$R$4:$R$200)</x:f>
        <x:v>100</x:v>
      </x:c>
      <x:c r="C9" s="75" t="n">
        <x:f>SUM('Calc_Option'!$T$4:$T$200)</x:f>
        <x:v>170</x:v>
      </x:c>
      <x:c r="D9" s="75" t="n">
        <x:f>B9+C9</x:f>
        <x:v>270</x:v>
      </x:c>
      <x:c r="E9" s="75"/>
      <x:c r="F9" s="75" t="n">
        <x:f>D9</x:f>
        <x:v>270</x:v>
      </x:c>
      <x:c r="G9" s="75" t="n">
        <x:f>F9-E9</x:f>
        <x:v>270</x:v>
      </x:c>
      <x:c r="H9" s="75"/>
      <x:c r="I9" s="72" t="str"/>
      <x:c r="J9" s="72" t="str">
        <x:v>대기</x:v>
      </x:c>
      <x:c r="K9" s="72"/>
      <x:c r="L9" s="72" t="str"/>
      <x:c r="M9" s="72" t="str">
        <x:v>대기</x:v>
      </x:c>
      <x:c r="N9" s="72" t="str"/>
      <x:c r="O9" s="72" t="str"/>
      <x:c r="P9" s="72" t="str"/>
    </x:row>
    <x:row r="10">
      <x:c r="A10" s="68" t="str">
        <x:v>발주금액</x:v>
      </x:c>
      <x:c r="B10" s="75" t="n">
        <x:f>SUM('Calc_Device'!$S$4:$S$200)</x:f>
        <x:v>79000000</x:v>
      </x:c>
      <x:c r="C10" s="75" t="n">
        <x:f>SUM('Calc_Option'!$U$4:$U$200)</x:f>
        <x:v>14500000</x:v>
      </x:c>
      <x:c r="D10" s="75" t="n">
        <x:f>B10+C10</x:f>
        <x:v>93500000</x:v>
      </x:c>
      <x:c r="E10" s="75"/>
      <x:c r="F10" s="75" t="n">
        <x:f>D10</x:f>
        <x:v>93500000</x:v>
      </x:c>
      <x:c r="G10" s="75" t="n">
        <x:f>F10-E10</x:f>
        <x:v>93500000</x:v>
      </x:c>
      <x:c r="H10" s="75" t="n">
        <x:f>B10+C10</x:f>
        <x:v>93500000</x:v>
      </x:c>
      <x:c r="I10" s="72" t="str"/>
      <x:c r="J10" s="72" t="str">
        <x:v>대기</x:v>
      </x:c>
      <x:c r="K10" s="72"/>
      <x:c r="L10" s="72" t="str"/>
      <x:c r="M10" s="72" t="str">
        <x:v>대기</x:v>
      </x:c>
      <x:c r="N10" s="72" t="str"/>
      <x:c r="O10" s="72" t="str"/>
      <x:c r="P10" s="72" t="str"/>
    </x:row>
    <x:row r="11">
      <x:c r="A11" s="68" t="str">
        <x:v>주요 리스크</x:v>
      </x:c>
      <x:c r="B11" s="68"/>
      <x:c r="C11" s="68"/>
      <x:c r="D11" s="68"/>
      <x:c r="E11" s="68"/>
      <x:c r="F11" s="68"/>
      <x:c r="G11" s="68"/>
      <x:c r="H11" s="68"/>
      <x:c r="I11" s="72" t="str"/>
      <x:c r="J11" s="72" t="str">
        <x:v>대기</x:v>
      </x:c>
      <x:c r="K11" s="72"/>
      <x:c r="L11" s="72" t="str"/>
      <x:c r="M11" s="72" t="str">
        <x:v>대기</x:v>
      </x:c>
      <x:c r="N11" s="72" t="str"/>
      <x:c r="O11" s="72" t="str"/>
      <x:c r="P11" s="72" t="str"/>
    </x:row>
    <x:row r="12">
      <x:c r="A12" s="63"/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  <x:c r="L12" s="63"/>
      <x:c r="M12" s="63"/>
      <x:c r="N12" s="63"/>
      <x:c r="O12" s="63"/>
      <x:c r="P12" s="63"/>
    </x:row>
    <x:row r="13">
      <x:c r="A13" s="67" t="str">
        <x:v>품목코드</x:v>
      </x:c>
      <x:c r="B13" s="67" t="str">
        <x:v>품목명</x:v>
      </x:c>
      <x:c r="C13" s="67" t="str">
        <x:v>구분</x:v>
      </x:c>
      <x:c r="D13" s="67" t="str">
        <x:v>Supplier</x:v>
      </x:c>
      <x:c r="E13" s="67" t="str">
        <x:v>발주수량</x:v>
      </x:c>
      <x:c r="F13" s="67" t="str">
        <x:v>단가</x:v>
      </x:c>
      <x:c r="G13" s="67" t="str">
        <x:v>발주금액</x:v>
      </x:c>
      <x:c r="H13" s="67" t="str">
        <x:v>전월 OL</x:v>
      </x:c>
      <x:c r="I13" s="67" t="str">
        <x:v>차이수량</x:v>
      </x:c>
      <x:c r="J13" s="67" t="str">
        <x:v>Flex 결과</x:v>
      </x:c>
      <x:c r="K13" s="67" t="str">
        <x:v>MOQ 결과</x:v>
      </x:c>
      <x:c r="L13" s="67" t="str">
        <x:v>리스크</x:v>
      </x:c>
      <x:c r="M13" s="67" t="str">
        <x:v>승인상태</x:v>
      </x:c>
      <x:c r="N13" s="67" t="str">
        <x:v>조정사유</x:v>
      </x:c>
      <x:c r="O13" s="67" t="str">
        <x:v>담당자</x:v>
      </x:c>
      <x:c r="P13" s="67" t="str">
        <x:v>비고</x:v>
      </x:c>
    </x:row>
    <x:row r="14">
      <x:c r="A14" s="68" t="str">
        <x:v>PRT-A3-001</x:v>
      </x:c>
      <x:c r="B14" s="68" t="str">
        <x:v>A3 Printer</x:v>
      </x:c>
      <x:c r="C14" s="68" t="str">
        <x:v>기기</x:v>
      </x:c>
      <x:c r="D14" s="68" t="str">
        <x:v>Supplier A</x:v>
      </x:c>
      <x:c r="E14" s="75" t="n">
        <x:f>SUMIFS('Calc_Device'!$R$4:$R$200,'Calc_Device'!$C$4:$C$200,A14)+SUMIFS('Calc_Option'!$T$4:$T$200,'Calc_Option'!$E$4:$E$200,A14)</x:f>
        <x:v>40</x:v>
      </x:c>
      <x:c r="F14" s="75" t="n">
        <x:f>SUMIFS('Master_Rules'!$J$4:$J$200,'Master_Rules'!$D$4:$D$200,A14)</x:f>
        <x:v>1000000</x:v>
      </x:c>
      <x:c r="G14" s="75" t="n">
        <x:f>E14*F14</x:f>
        <x:v>40000000</x:v>
      </x:c>
      <x:c r="H14" s="75" t="n">
        <x:f>SUMIFS('Input_OL'!$G$4:$G$200,'Input_OL'!$C$4:$C$200,A14)</x:f>
        <x:v>80</x:v>
      </x:c>
      <x:c r="I14" s="75" t="n">
        <x:f>E14-H14</x:f>
        <x:v>-40</x:v>
      </x:c>
      <x:c r="J14" s="83" t="str">
        <x:f>IF(C14="기기",IFERROR(INDEX('Calc_Device'!$P$4:$P$200,MATCH(A14,'Calc_Device'!$C$4:$C$200,0)),"확인"),"옵션 별도 확인")</x:f>
        <x:v>Rule초과</x:v>
      </x:c>
      <x:c r="K14" s="85" t="str">
        <x:f>IF(E14&gt;=SUMIFS('Master_Rules'!$G$4:$G$200,'Master_Rules'!$D$4:$D$200,A14),"MOQ충족","MOQ확인")</x:f>
        <x:v>MOQ충족</x:v>
      </x:c>
      <x:c r="L14" s="83" t="str">
        <x:f>IF(OR(J14="Rule초과",K14="MOQ확인"),"확인필요","정상")</x:f>
        <x:v>확인필요</x:v>
      </x:c>
      <x:c r="M14" s="72" t="str">
        <x:v>대기</x:v>
      </x:c>
      <x:c r="N14" s="72" t="str"/>
      <x:c r="O14" s="72" t="str"/>
      <x:c r="P14" s="72" t="str"/>
    </x:row>
    <x:row r="15">
      <x:c r="A15" s="68" t="str">
        <x:v>PRT-A4-001</x:v>
      </x:c>
      <x:c r="B15" s="68" t="str">
        <x:v>A4 Printer</x:v>
      </x:c>
      <x:c r="C15" s="68" t="str">
        <x:v>기기</x:v>
      </x:c>
      <x:c r="D15" s="68" t="str">
        <x:v>Supplier B</x:v>
      </x:c>
      <x:c r="E15" s="75" t="n">
        <x:f>SUMIFS('Calc_Device'!$R$4:$R$200,'Calc_Device'!$C$4:$C$200,A15)+SUMIFS('Calc_Option'!$T$4:$T$200,'Calc_Option'!$E$4:$E$200,A15)</x:f>
        <x:v>60</x:v>
      </x:c>
      <x:c r="F15" s="75" t="n">
        <x:f>SUMIFS('Master_Rules'!$J$4:$J$200,'Master_Rules'!$D$4:$D$200,A15)</x:f>
        <x:v>650000</x:v>
      </x:c>
      <x:c r="G15" s="75" t="n">
        <x:f>E15*F15</x:f>
        <x:v>39000000</x:v>
      </x:c>
      <x:c r="H15" s="75" t="n">
        <x:f>SUMIFS('Input_OL'!$G$4:$G$200,'Input_OL'!$C$4:$C$200,A15)</x:f>
        <x:v>80</x:v>
      </x:c>
      <x:c r="I15" s="75" t="n">
        <x:f>E15-H15</x:f>
        <x:v>-20</x:v>
      </x:c>
      <x:c r="J15" s="83" t="str">
        <x:f>IF(C15="기기",IFERROR(INDEX('Calc_Device'!$P$4:$P$200,MATCH(A15,'Calc_Device'!$C$4:$C$200,0)),"확인"),"옵션 별도 확인")</x:f>
        <x:v>Rule초과</x:v>
      </x:c>
      <x:c r="K15" s="85" t="str">
        <x:f>IF(E15&gt;=SUMIFS('Master_Rules'!$G$4:$G$200,'Master_Rules'!$D$4:$D$200,A15),"MOQ충족","MOQ확인")</x:f>
        <x:v>MOQ충족</x:v>
      </x:c>
      <x:c r="L15" s="83" t="str">
        <x:f>IF(OR(J15="Rule초과",K15="MOQ확인"),"확인필요","정상")</x:f>
        <x:v>확인필요</x:v>
      </x:c>
      <x:c r="M15" s="72" t="str">
        <x:v>대기</x:v>
      </x:c>
      <x:c r="N15" s="72" t="str"/>
      <x:c r="O15" s="72" t="str"/>
      <x:c r="P15" s="72" t="str"/>
    </x:row>
    <x:row r="16">
      <x:c r="A16" s="68" t="str">
        <x:v>OPT-FIN-001</x:v>
      </x:c>
      <x:c r="B16" s="68" t="str">
        <x:v>Finisher</x:v>
      </x:c>
      <x:c r="C16" s="68" t="str">
        <x:v>옵션</x:v>
      </x:c>
      <x:c r="D16" s="68" t="str">
        <x:v>Supplier C</x:v>
      </x:c>
      <x:c r="E16" s="75" t="n">
        <x:f>SUMIFS('Calc_Device'!$R$4:$R$200,'Calc_Device'!$C$4:$C$200,A16)+SUMIFS('Calc_Option'!$T$4:$T$200,'Calc_Option'!$E$4:$E$200,A16)</x:f>
        <x:v>20</x:v>
      </x:c>
      <x:c r="F16" s="75" t="n">
        <x:f>SUMIFS('Master_Rules'!$J$4:$J$200,'Master_Rules'!$D$4:$D$200,A16)</x:f>
        <x:v>250000</x:v>
      </x:c>
      <x:c r="G16" s="75" t="n">
        <x:f>E16*F16</x:f>
        <x:v>5000000</x:v>
      </x:c>
      <x:c r="H16" s="75" t="n">
        <x:f>SUMIFS('Input_OL'!$G$4:$G$200,'Input_OL'!$C$4:$C$200,A16)</x:f>
        <x:v>0</x:v>
      </x:c>
      <x:c r="I16" s="75" t="n">
        <x:f>E16-H16</x:f>
        <x:v>20</x:v>
      </x:c>
      <x:c r="J16" s="83" t="str">
        <x:f>IF(C16="기기",IFERROR(INDEX('Calc_Device'!$P$4:$P$200,MATCH(A16,'Calc_Device'!$C$4:$C$200,0)),"확인"),"옵션 별도 확인")</x:f>
        <x:v>옵션 별도 확인</x:v>
      </x:c>
      <x:c r="K16" s="85" t="str">
        <x:f>IF(E16&gt;=SUMIFS('Master_Rules'!$G$4:$G$200,'Master_Rules'!$D$4:$D$200,A16),"MOQ충족","MOQ확인")</x:f>
        <x:v>MOQ충족</x:v>
      </x:c>
      <x:c r="L16" s="83" t="str">
        <x:f>IF(OR(J16="Rule초과",K16="MOQ확인"),"확인필요","정상")</x:f>
        <x:v>정상</x:v>
      </x:c>
      <x:c r="M16" s="72" t="str">
        <x:v>대기</x:v>
      </x:c>
      <x:c r="N16" s="72" t="str"/>
      <x:c r="O16" s="72" t="str"/>
      <x:c r="P16" s="72" t="str"/>
    </x:row>
    <x:row r="17">
      <x:c r="A17" s="68" t="str">
        <x:v>OPT-TRAY-001</x:v>
      </x:c>
      <x:c r="B17" s="68" t="str">
        <x:v>Paper Tray</x:v>
      </x:c>
      <x:c r="C17" s="68" t="str">
        <x:v>옵션</x:v>
      </x:c>
      <x:c r="D17" s="68" t="str">
        <x:v>Supplier C</x:v>
      </x:c>
      <x:c r="E17" s="75" t="n">
        <x:f>SUMIFS('Calc_Device'!$R$4:$R$200,'Calc_Device'!$C$4:$C$200,A17)+SUMIFS('Calc_Option'!$T$4:$T$200,'Calc_Option'!$E$4:$E$200,A17)</x:f>
        <x:v>100</x:v>
      </x:c>
      <x:c r="F17" s="75" t="n">
        <x:f>SUMIFS('Master_Rules'!$J$4:$J$200,'Master_Rules'!$D$4:$D$200,A17)</x:f>
        <x:v>80000</x:v>
      </x:c>
      <x:c r="G17" s="75" t="n">
        <x:f>E17*F17</x:f>
        <x:v>8000000</x:v>
      </x:c>
      <x:c r="H17" s="75" t="n">
        <x:f>SUMIFS('Input_OL'!$G$4:$G$200,'Input_OL'!$C$4:$C$200,A17)</x:f>
        <x:v>0</x:v>
      </x:c>
      <x:c r="I17" s="75" t="n">
        <x:f>E17-H17</x:f>
        <x:v>100</x:v>
      </x:c>
      <x:c r="J17" s="83" t="str">
        <x:f>IF(C17="기기",IFERROR(INDEX('Calc_Device'!$P$4:$P$200,MATCH(A17,'Calc_Device'!$C$4:$C$200,0)),"확인"),"옵션 별도 확인")</x:f>
        <x:v>옵션 별도 확인</x:v>
      </x:c>
      <x:c r="K17" s="85" t="str">
        <x:f>IF(E17&gt;=SUMIFS('Master_Rules'!$G$4:$G$200,'Master_Rules'!$D$4:$D$200,A17),"MOQ충족","MOQ확인")</x:f>
        <x:v>MOQ충족</x:v>
      </x:c>
      <x:c r="L17" s="83" t="str">
        <x:f>IF(OR(J17="Rule초과",K17="MOQ확인"),"확인필요","정상")</x:f>
        <x:v>정상</x:v>
      </x:c>
      <x:c r="M17" s="72" t="str">
        <x:v>대기</x:v>
      </x:c>
      <x:c r="N17" s="72" t="str"/>
      <x:c r="O17" s="72" t="str"/>
      <x:c r="P17" s="72" t="str"/>
    </x:row>
    <x:row r="18">
      <x:c r="A18" s="68" t="str">
        <x:v>CON-TNR-001</x:v>
      </x:c>
      <x:c r="B18" s="68" t="str">
        <x:v>Toner</x:v>
      </x:c>
      <x:c r="C18" s="68" t="str">
        <x:v>소모품</x:v>
      </x:c>
      <x:c r="D18" s="68" t="str">
        <x:v>Supplier D</x:v>
      </x:c>
      <x:c r="E18" s="75" t="n">
        <x:f>SUMIFS('Calc_Device'!$R$4:$R$200,'Calc_Device'!$C$4:$C$200,A18)+SUMIFS('Calc_Option'!$T$4:$T$200,'Calc_Option'!$E$4:$E$200,A18)</x:f>
        <x:v>50</x:v>
      </x:c>
      <x:c r="F18" s="75" t="n">
        <x:f>SUMIFS('Master_Rules'!$J$4:$J$200,'Master_Rules'!$D$4:$D$200,A18)</x:f>
        <x:v>30000</x:v>
      </x:c>
      <x:c r="G18" s="75" t="n">
        <x:f>E18*F18</x:f>
        <x:v>1500000</x:v>
      </x:c>
      <x:c r="H18" s="75" t="n">
        <x:f>SUMIFS('Input_OL'!$G$4:$G$200,'Input_OL'!$C$4:$C$200,A18)</x:f>
        <x:v>0</x:v>
      </x:c>
      <x:c r="I18" s="75" t="n">
        <x:f>E18-H18</x:f>
        <x:v>50</x:v>
      </x:c>
      <x:c r="J18" s="83" t="str">
        <x:f>IF(C18="기기",IFERROR(INDEX('Calc_Device'!$P$4:$P$200,MATCH(A18,'Calc_Device'!$C$4:$C$200,0)),"확인"),"옵션 별도 확인")</x:f>
        <x:v>옵션 별도 확인</x:v>
      </x:c>
      <x:c r="K18" s="85" t="str">
        <x:f>IF(E18&gt;=SUMIFS('Master_Rules'!$G$4:$G$200,'Master_Rules'!$D$4:$D$200,A18),"MOQ충족","MOQ확인")</x:f>
        <x:v>MOQ충족</x:v>
      </x:c>
      <x:c r="L18" s="83" t="str">
        <x:f>IF(OR(J18="Rule초과",K18="MOQ확인"),"확인필요","정상")</x:f>
        <x:v>정상</x:v>
      </x:c>
      <x:c r="M18" s="72" t="str">
        <x:v>대기</x:v>
      </x:c>
      <x:c r="N18" s="72" t="str"/>
      <x:c r="O18" s="72" t="str"/>
      <x:c r="P18" s="72" t="str"/>
    </x:row>
  </x:sheetData>
  <x:mergeCells>
    <x:mergeCell ref="A1:P1"/>
    <x:mergeCell ref="A3:P3"/>
  </x:mergeCells>
  <x:dataValidations count="3">
    <x:dataValidation type="list" sqref="J9:J11">
      <x:formula1>"대기,승인,조건부 승인,반려,재산출"</x:formula1>
    </x:dataValidation>
    <x:dataValidation type="list" sqref="M9:M11">
      <x:formula1>"대기,입력완료,FIX완료,오류"</x:formula1>
    </x:dataValidation>
    <x:dataValidation type="list" sqref="M14:M18">
      <x:formula1>"대기,승인,반려"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2" hidden="0" customWidth="1"/>
    <x:col min="4" max="4" width="18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3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3" hidden="0" customWidth="1"/>
    <x:col min="17" max="17" width="12" hidden="0" customWidth="1"/>
    <x:col min="18" max="18" width="12" hidden="0" customWidth="1"/>
    <x:col min="19" max="19" width="16" hidden="0" customWidth="1"/>
    <x:col min="20" max="20" width="14" hidden="0" customWidth="1"/>
    <x:col min="21" max="21" width="12" hidden="0" customWidth="1"/>
    <x:col min="22" max="22" width="12" hidden="0" customWidth="1"/>
    <x:col min="23" max="23" width="24" hidden="0" customWidth="1"/>
  </x:cols>
  <x:sheetData>
    <x:row r="1" ht="30" customHeight="1">
      <x:c r="A1" s="93" t="str">
        <x:v>입고관리: 발주·선적·통관·입고·검수·PO Match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</x:row>
    <x:row r="3">
      <x:c r="A3" s="67" t="str">
        <x:v>PO번호</x:v>
      </x:c>
      <x:c r="B3" s="67" t="str">
        <x:v>Supplier</x:v>
      </x:c>
      <x:c r="C3" s="67" t="str">
        <x:v>출발거점</x:v>
      </x:c>
      <x:c r="D3" s="67" t="str">
        <x:v>품목코드</x:v>
      </x:c>
      <x:c r="E3" s="67" t="str">
        <x:v>품목명</x:v>
      </x:c>
      <x:c r="F3" s="67" t="str">
        <x:v>구분</x:v>
      </x:c>
      <x:c r="G3" s="67" t="str">
        <x:v>발주수량</x:v>
      </x:c>
      <x:c r="H3" s="67" t="str">
        <x:v>발주일</x:v>
      </x:c>
      <x:c r="I3" s="67" t="str">
        <x:v>현지선적일</x:v>
      </x:c>
      <x:c r="J3" s="67" t="str">
        <x:v>운송수단</x:v>
      </x:c>
      <x:c r="K3" s="67" t="str">
        <x:v>도착예정일</x:v>
      </x:c>
      <x:c r="L3" s="67" t="str">
        <x:v>도착지</x:v>
      </x:c>
      <x:c r="M3" s="67" t="str">
        <x:v>통관서류</x:v>
      </x:c>
      <x:c r="N3" s="67" t="str">
        <x:v>통관상태</x:v>
      </x:c>
      <x:c r="O3" s="67" t="str">
        <x:v>창고입고예정</x:v>
      </x:c>
      <x:c r="P3" s="67" t="str">
        <x:v>실제입고일</x:v>
      </x:c>
      <x:c r="Q3" s="67" t="str">
        <x:v>입고수량</x:v>
      </x:c>
      <x:c r="R3" s="67" t="str">
        <x:v>검수결과</x:v>
      </x:c>
      <x:c r="S3" s="67" t="str">
        <x:v>Invoice번호</x:v>
      </x:c>
      <x:c r="T3" s="67" t="str">
        <x:v>Invoice금액</x:v>
      </x:c>
      <x:c r="U3" s="67" t="str">
        <x:v>PO Match</x:v>
      </x:c>
      <x:c r="V3" s="67" t="str">
        <x:v>지급상태</x:v>
      </x:c>
      <x:c r="W3" s="67" t="str">
        <x:v>지연/이상사유</x:v>
      </x:c>
    </x:row>
    <x:row r="4">
      <x:c r="A4" s="72" t="str">
        <x:v>PO-202608-001</x:v>
      </x:c>
      <x:c r="B4" s="72" t="str">
        <x:v>Supplier A</x:v>
      </x:c>
      <x:c r="C4" s="72" t="str">
        <x:v>상해</x:v>
      </x:c>
      <x:c r="D4" s="72" t="str">
        <x:v>PRT-A3-001</x:v>
      </x:c>
      <x:c r="E4" s="72" t="str">
        <x:v>A3 Printer</x:v>
      </x:c>
      <x:c r="F4" s="72" t="str">
        <x:v>기기</x:v>
      </x:c>
      <x:c r="G4" s="73" t="n">
        <x:v>30</x:v>
      </x:c>
      <x:c r="H4" s="71" t="n">
        <x:v>46239</x:v>
      </x:c>
      <x:c r="I4" s="71"/>
      <x:c r="J4" s="72" t="str">
        <x:v>해상</x:v>
      </x:c>
      <x:c r="K4" s="71" t="n">
        <x:v>46285</x:v>
      </x:c>
      <x:c r="L4" s="72" t="str">
        <x:v>부산항</x:v>
      </x:c>
      <x:c r="M4" s="72" t="str">
        <x:v>확보</x:v>
      </x:c>
      <x:c r="N4" s="72" t="str">
        <x:v>준비중</x:v>
      </x:c>
      <x:c r="O4" s="71" t="n">
        <x:v>46290</x:v>
      </x:c>
      <x:c r="P4" s="71"/>
      <x:c r="Q4" s="73"/>
      <x:c r="R4" s="72" t="str">
        <x:v>미검수</x:v>
      </x:c>
      <x:c r="S4" s="72" t="str"/>
      <x:c r="T4" s="73"/>
      <x:c r="U4" s="72" t="str">
        <x:v>대기</x:v>
      </x:c>
      <x:c r="V4" s="72" t="str">
        <x:v>대기</x:v>
      </x:c>
      <x:c r="W4" s="72" t="str"/>
    </x:row>
    <x:row r="5">
      <x:c r="A5" s="72" t="str">
        <x:v>PO-202608-002</x:v>
      </x:c>
      <x:c r="B5" s="72" t="str">
        <x:v>Supplier C</x:v>
      </x:c>
      <x:c r="C5" s="72" t="str">
        <x:v>베트남</x:v>
      </x:c>
      <x:c r="D5" s="72" t="str">
        <x:v>OPT-FIN-001</x:v>
      </x:c>
      <x:c r="E5" s="72" t="str">
        <x:v>Finisher</x:v>
      </x:c>
      <x:c r="F5" s="72" t="str">
        <x:v>옵션</x:v>
      </x:c>
      <x:c r="G5" s="73" t="n">
        <x:v>10</x:v>
      </x:c>
      <x:c r="H5" s="71" t="n">
        <x:v>46239</x:v>
      </x:c>
      <x:c r="I5" s="71"/>
      <x:c r="J5" s="72" t="str">
        <x:v>해상</x:v>
      </x:c>
      <x:c r="K5" s="71" t="n">
        <x:v>46300</x:v>
      </x:c>
      <x:c r="L5" s="72" t="str">
        <x:v>인천항</x:v>
      </x:c>
      <x:c r="M5" s="72" t="str">
        <x:v>미확보</x:v>
      </x:c>
      <x:c r="N5" s="72" t="str">
        <x:v>대기</x:v>
      </x:c>
      <x:c r="O5" s="71" t="n">
        <x:v>46305</x:v>
      </x:c>
      <x:c r="P5" s="71"/>
      <x:c r="Q5" s="73"/>
      <x:c r="R5" s="72" t="str">
        <x:v>미검수</x:v>
      </x:c>
      <x:c r="S5" s="72" t="str"/>
      <x:c r="T5" s="73"/>
      <x:c r="U5" s="72" t="str">
        <x:v>대기</x:v>
      </x:c>
      <x:c r="V5" s="72" t="str">
        <x:v>대기</x:v>
      </x:c>
      <x:c r="W5" s="72" t="str">
        <x:v>선적 일정 확인 필요</x:v>
      </x:c>
    </x:row>
    <x:row r="6">
      <x:c r="A6" s="72" t="str">
        <x:v>PO-202608-003</x:v>
      </x:c>
      <x:c r="B6" s="72" t="str">
        <x:v>Supplier D</x:v>
      </x:c>
      <x:c r="C6" s="72" t="str">
        <x:v>도쿄</x:v>
      </x:c>
      <x:c r="D6" s="72" t="str">
        <x:v>CON-TNR-001</x:v>
      </x:c>
      <x:c r="E6" s="72" t="str">
        <x:v>Toner</x:v>
      </x:c>
      <x:c r="F6" s="72" t="str">
        <x:v>소모품</x:v>
      </x:c>
      <x:c r="G6" s="73" t="n">
        <x:v>100</x:v>
      </x:c>
      <x:c r="H6" s="71" t="n">
        <x:v>46239</x:v>
      </x:c>
      <x:c r="I6" s="71" t="n">
        <x:v>46244</x:v>
      </x:c>
      <x:c r="J6" s="72" t="str">
        <x:v>항공</x:v>
      </x:c>
      <x:c r="K6" s="71" t="n">
        <x:v>46246</x:v>
      </x:c>
      <x:c r="L6" s="72" t="str">
        <x:v>인천공항</x:v>
      </x:c>
      <x:c r="M6" s="72" t="str">
        <x:v>확보</x:v>
      </x:c>
      <x:c r="N6" s="72" t="str">
        <x:v>완료</x:v>
      </x:c>
      <x:c r="O6" s="71" t="n">
        <x:v>46247</x:v>
      </x:c>
      <x:c r="P6" s="71" t="n">
        <x:v>46247</x:v>
      </x:c>
      <x:c r="Q6" s="73" t="n">
        <x:v>100</x:v>
      </x:c>
      <x:c r="R6" s="72" t="str">
        <x:v>정상</x:v>
      </x:c>
      <x:c r="S6" s="72" t="str">
        <x:v>INV-001</x:v>
      </x:c>
      <x:c r="T6" s="73" t="n">
        <x:v>3000000</x:v>
      </x:c>
      <x:c r="U6" s="72" t="str">
        <x:v>일치</x:v>
      </x:c>
      <x:c r="V6" s="72" t="str">
        <x:v>지급완료</x:v>
      </x:c>
      <x:c r="W6" s="72" t="str">
        <x:v>예시</x:v>
      </x:c>
    </x:row>
    <x:row r="7">
      <x:c r="A7" s="72"/>
      <x:c r="B7" s="72"/>
      <x:c r="C7" s="72"/>
      <x:c r="D7" s="72"/>
      <x:c r="E7" s="72"/>
      <x:c r="F7" s="72"/>
      <x:c r="G7" s="73"/>
      <x:c r="H7" s="71"/>
      <x:c r="I7" s="71"/>
      <x:c r="J7" s="72"/>
      <x:c r="K7" s="71"/>
      <x:c r="L7" s="72"/>
      <x:c r="M7" s="72"/>
      <x:c r="N7" s="72"/>
      <x:c r="O7" s="71"/>
      <x:c r="P7" s="71"/>
      <x:c r="Q7" s="73"/>
      <x:c r="R7" s="72"/>
      <x:c r="S7" s="72"/>
      <x:c r="T7" s="73"/>
      <x:c r="U7" s="72"/>
      <x:c r="V7" s="72"/>
      <x:c r="W7" s="72"/>
    </x:row>
    <x:row r="8">
      <x:c r="A8" s="72"/>
      <x:c r="B8" s="72"/>
      <x:c r="C8" s="72"/>
      <x:c r="D8" s="72"/>
      <x:c r="E8" s="72"/>
      <x:c r="F8" s="72"/>
      <x:c r="G8" s="73"/>
      <x:c r="H8" s="71"/>
      <x:c r="I8" s="71"/>
      <x:c r="J8" s="72"/>
      <x:c r="K8" s="71"/>
      <x:c r="L8" s="72"/>
      <x:c r="M8" s="72"/>
      <x:c r="N8" s="72"/>
      <x:c r="O8" s="71"/>
      <x:c r="P8" s="71"/>
      <x:c r="Q8" s="73"/>
      <x:c r="R8" s="72"/>
      <x:c r="S8" s="72"/>
      <x:c r="T8" s="73"/>
      <x:c r="U8" s="72"/>
      <x:c r="V8" s="72"/>
      <x:c r="W8" s="72"/>
    </x:row>
    <x:row r="9">
      <x:c r="A9" s="72"/>
      <x:c r="B9" s="72"/>
      <x:c r="C9" s="72"/>
      <x:c r="D9" s="72"/>
      <x:c r="E9" s="72"/>
      <x:c r="F9" s="72"/>
      <x:c r="G9" s="73"/>
      <x:c r="H9" s="71"/>
      <x:c r="I9" s="71"/>
      <x:c r="J9" s="72"/>
      <x:c r="K9" s="71"/>
      <x:c r="L9" s="72"/>
      <x:c r="M9" s="72"/>
      <x:c r="N9" s="72"/>
      <x:c r="O9" s="71"/>
      <x:c r="P9" s="71"/>
      <x:c r="Q9" s="73"/>
      <x:c r="R9" s="72"/>
      <x:c r="S9" s="72"/>
      <x:c r="T9" s="73"/>
      <x:c r="U9" s="72"/>
      <x:c r="V9" s="72"/>
      <x:c r="W9" s="72"/>
    </x:row>
    <x:row r="10">
      <x:c r="A10" s="72"/>
      <x:c r="B10" s="72"/>
      <x:c r="C10" s="72"/>
      <x:c r="D10" s="72"/>
      <x:c r="E10" s="72"/>
      <x:c r="F10" s="72"/>
      <x:c r="G10" s="73"/>
      <x:c r="H10" s="71"/>
      <x:c r="I10" s="71"/>
      <x:c r="J10" s="72"/>
      <x:c r="K10" s="71"/>
      <x:c r="L10" s="72"/>
      <x:c r="M10" s="72"/>
      <x:c r="N10" s="72"/>
      <x:c r="O10" s="71"/>
      <x:c r="P10" s="71"/>
      <x:c r="Q10" s="73"/>
      <x:c r="R10" s="72"/>
      <x:c r="S10" s="72"/>
      <x:c r="T10" s="73"/>
      <x:c r="U10" s="72"/>
      <x:c r="V10" s="72"/>
      <x:c r="W10" s="72"/>
    </x:row>
    <x:row r="11">
      <x:c r="A11" s="72"/>
      <x:c r="B11" s="72"/>
      <x:c r="C11" s="72"/>
      <x:c r="D11" s="72"/>
      <x:c r="E11" s="72"/>
      <x:c r="F11" s="72"/>
      <x:c r="G11" s="73"/>
      <x:c r="H11" s="71"/>
      <x:c r="I11" s="71"/>
      <x:c r="J11" s="72"/>
      <x:c r="K11" s="71"/>
      <x:c r="L11" s="72"/>
      <x:c r="M11" s="72"/>
      <x:c r="N11" s="72"/>
      <x:c r="O11" s="71"/>
      <x:c r="P11" s="71"/>
      <x:c r="Q11" s="73"/>
      <x:c r="R11" s="72"/>
      <x:c r="S11" s="72"/>
      <x:c r="T11" s="73"/>
      <x:c r="U11" s="72"/>
      <x:c r="V11" s="72"/>
      <x:c r="W11" s="72"/>
    </x:row>
    <x:row r="12">
      <x:c r="A12" s="72"/>
      <x:c r="B12" s="72"/>
      <x:c r="C12" s="72"/>
      <x:c r="D12" s="72"/>
      <x:c r="E12" s="72"/>
      <x:c r="F12" s="72"/>
      <x:c r="G12" s="73"/>
      <x:c r="H12" s="71"/>
      <x:c r="I12" s="71"/>
      <x:c r="J12" s="72"/>
      <x:c r="K12" s="71"/>
      <x:c r="L12" s="72"/>
      <x:c r="M12" s="72"/>
      <x:c r="N12" s="72"/>
      <x:c r="O12" s="71"/>
      <x:c r="P12" s="71"/>
      <x:c r="Q12" s="73"/>
      <x:c r="R12" s="72"/>
      <x:c r="S12" s="72"/>
      <x:c r="T12" s="73"/>
      <x:c r="U12" s="72"/>
      <x:c r="V12" s="72"/>
      <x:c r="W12" s="72"/>
    </x:row>
    <x:row r="13">
      <x:c r="A13" s="72"/>
      <x:c r="B13" s="72"/>
      <x:c r="C13" s="72"/>
      <x:c r="D13" s="72"/>
      <x:c r="E13" s="72"/>
      <x:c r="F13" s="72"/>
      <x:c r="G13" s="73"/>
      <x:c r="H13" s="71"/>
      <x:c r="I13" s="71"/>
      <x:c r="J13" s="72"/>
      <x:c r="K13" s="71"/>
      <x:c r="L13" s="72"/>
      <x:c r="M13" s="72"/>
      <x:c r="N13" s="72"/>
      <x:c r="O13" s="71"/>
      <x:c r="P13" s="71"/>
      <x:c r="Q13" s="73"/>
      <x:c r="R13" s="72"/>
      <x:c r="S13" s="72"/>
      <x:c r="T13" s="73"/>
      <x:c r="U13" s="72"/>
      <x:c r="V13" s="72"/>
      <x:c r="W13" s="72"/>
    </x:row>
    <x:row r="14">
      <x:c r="A14" s="72"/>
      <x:c r="B14" s="72"/>
      <x:c r="C14" s="72"/>
      <x:c r="D14" s="72"/>
      <x:c r="E14" s="72"/>
      <x:c r="F14" s="72"/>
      <x:c r="G14" s="73"/>
      <x:c r="H14" s="71"/>
      <x:c r="I14" s="71"/>
      <x:c r="J14" s="72"/>
      <x:c r="K14" s="71"/>
      <x:c r="L14" s="72"/>
      <x:c r="M14" s="72"/>
      <x:c r="N14" s="72"/>
      <x:c r="O14" s="71"/>
      <x:c r="P14" s="71"/>
      <x:c r="Q14" s="73"/>
      <x:c r="R14" s="72"/>
      <x:c r="S14" s="72"/>
      <x:c r="T14" s="73"/>
      <x:c r="U14" s="72"/>
      <x:c r="V14" s="72"/>
      <x:c r="W14" s="72"/>
    </x:row>
    <x:row r="15">
      <x:c r="A15" s="72"/>
      <x:c r="B15" s="72"/>
      <x:c r="C15" s="72"/>
      <x:c r="D15" s="72"/>
      <x:c r="E15" s="72"/>
      <x:c r="F15" s="72"/>
      <x:c r="G15" s="73"/>
      <x:c r="H15" s="71"/>
      <x:c r="I15" s="71"/>
      <x:c r="J15" s="72"/>
      <x:c r="K15" s="71"/>
      <x:c r="L15" s="72"/>
      <x:c r="M15" s="72"/>
      <x:c r="N15" s="72"/>
      <x:c r="O15" s="71"/>
      <x:c r="P15" s="71"/>
      <x:c r="Q15" s="73"/>
      <x:c r="R15" s="72"/>
      <x:c r="S15" s="72"/>
      <x:c r="T15" s="73"/>
      <x:c r="U15" s="72"/>
      <x:c r="V15" s="72"/>
      <x:c r="W15" s="72"/>
    </x:row>
    <x:row r="16">
      <x:c r="A16" s="72"/>
      <x:c r="B16" s="72"/>
      <x:c r="C16" s="72"/>
      <x:c r="D16" s="72"/>
      <x:c r="E16" s="72"/>
      <x:c r="F16" s="72"/>
      <x:c r="G16" s="73"/>
      <x:c r="H16" s="71"/>
      <x:c r="I16" s="71"/>
      <x:c r="J16" s="72"/>
      <x:c r="K16" s="71"/>
      <x:c r="L16" s="72"/>
      <x:c r="M16" s="72"/>
      <x:c r="N16" s="72"/>
      <x:c r="O16" s="71"/>
      <x:c r="P16" s="71"/>
      <x:c r="Q16" s="73"/>
      <x:c r="R16" s="72"/>
      <x:c r="S16" s="72"/>
      <x:c r="T16" s="73"/>
      <x:c r="U16" s="72"/>
      <x:c r="V16" s="72"/>
      <x:c r="W16" s="72"/>
    </x:row>
    <x:row r="17">
      <x:c r="A17" s="72"/>
      <x:c r="B17" s="72"/>
      <x:c r="C17" s="72"/>
      <x:c r="D17" s="72"/>
      <x:c r="E17" s="72"/>
      <x:c r="F17" s="72"/>
      <x:c r="G17" s="73"/>
      <x:c r="H17" s="71"/>
      <x:c r="I17" s="71"/>
      <x:c r="J17" s="72"/>
      <x:c r="K17" s="71"/>
      <x:c r="L17" s="72"/>
      <x:c r="M17" s="72"/>
      <x:c r="N17" s="72"/>
      <x:c r="O17" s="71"/>
      <x:c r="P17" s="71"/>
      <x:c r="Q17" s="73"/>
      <x:c r="R17" s="72"/>
      <x:c r="S17" s="72"/>
      <x:c r="T17" s="73"/>
      <x:c r="U17" s="72"/>
      <x:c r="V17" s="72"/>
      <x:c r="W17" s="72"/>
    </x:row>
    <x:row r="18">
      <x:c r="A18" s="72"/>
      <x:c r="B18" s="72"/>
      <x:c r="C18" s="72"/>
      <x:c r="D18" s="72"/>
      <x:c r="E18" s="72"/>
      <x:c r="F18" s="72"/>
      <x:c r="G18" s="73"/>
      <x:c r="H18" s="71"/>
      <x:c r="I18" s="71"/>
      <x:c r="J18" s="72"/>
      <x:c r="K18" s="71"/>
      <x:c r="L18" s="72"/>
      <x:c r="M18" s="72"/>
      <x:c r="N18" s="72"/>
      <x:c r="O18" s="71"/>
      <x:c r="P18" s="71"/>
      <x:c r="Q18" s="73"/>
      <x:c r="R18" s="72"/>
      <x:c r="S18" s="72"/>
      <x:c r="T18" s="73"/>
      <x:c r="U18" s="72"/>
      <x:c r="V18" s="72"/>
      <x:c r="W18" s="72"/>
    </x:row>
    <x:row r="19">
      <x:c r="A19" s="72"/>
      <x:c r="B19" s="72"/>
      <x:c r="C19" s="72"/>
      <x:c r="D19" s="72"/>
      <x:c r="E19" s="72"/>
      <x:c r="F19" s="72"/>
      <x:c r="G19" s="73"/>
      <x:c r="H19" s="71"/>
      <x:c r="I19" s="71"/>
      <x:c r="J19" s="72"/>
      <x:c r="K19" s="71"/>
      <x:c r="L19" s="72"/>
      <x:c r="M19" s="72"/>
      <x:c r="N19" s="72"/>
      <x:c r="O19" s="71"/>
      <x:c r="P19" s="71"/>
      <x:c r="Q19" s="73"/>
      <x:c r="R19" s="72"/>
      <x:c r="S19" s="72"/>
      <x:c r="T19" s="73"/>
      <x:c r="U19" s="72"/>
      <x:c r="V19" s="72"/>
      <x:c r="W19" s="72"/>
    </x:row>
    <x:row r="20">
      <x:c r="A20" s="72"/>
      <x:c r="B20" s="72"/>
      <x:c r="C20" s="72"/>
      <x:c r="D20" s="72"/>
      <x:c r="E20" s="72"/>
      <x:c r="F20" s="72"/>
      <x:c r="G20" s="73"/>
      <x:c r="H20" s="71"/>
      <x:c r="I20" s="71"/>
      <x:c r="J20" s="72"/>
      <x:c r="K20" s="71"/>
      <x:c r="L20" s="72"/>
      <x:c r="M20" s="72"/>
      <x:c r="N20" s="72"/>
      <x:c r="O20" s="71"/>
      <x:c r="P20" s="71"/>
      <x:c r="Q20" s="73"/>
      <x:c r="R20" s="72"/>
      <x:c r="S20" s="72"/>
      <x:c r="T20" s="73"/>
      <x:c r="U20" s="72"/>
      <x:c r="V20" s="72"/>
      <x:c r="W20" s="72"/>
    </x:row>
    <x:row r="21">
      <x:c r="A21" s="72"/>
      <x:c r="B21" s="72"/>
      <x:c r="C21" s="72"/>
      <x:c r="D21" s="72"/>
      <x:c r="E21" s="72"/>
      <x:c r="F21" s="72"/>
      <x:c r="G21" s="73"/>
      <x:c r="H21" s="71"/>
      <x:c r="I21" s="71"/>
      <x:c r="J21" s="72"/>
      <x:c r="K21" s="71"/>
      <x:c r="L21" s="72"/>
      <x:c r="M21" s="72"/>
      <x:c r="N21" s="72"/>
      <x:c r="O21" s="71"/>
      <x:c r="P21" s="71"/>
      <x:c r="Q21" s="73"/>
      <x:c r="R21" s="72"/>
      <x:c r="S21" s="72"/>
      <x:c r="T21" s="73"/>
      <x:c r="U21" s="72"/>
      <x:c r="V21" s="72"/>
      <x:c r="W21" s="72"/>
    </x:row>
    <x:row r="22">
      <x:c r="A22" s="72"/>
      <x:c r="B22" s="72"/>
      <x:c r="C22" s="72"/>
      <x:c r="D22" s="72"/>
      <x:c r="E22" s="72"/>
      <x:c r="F22" s="72"/>
      <x:c r="G22" s="73"/>
      <x:c r="H22" s="71"/>
      <x:c r="I22" s="71"/>
      <x:c r="J22" s="72"/>
      <x:c r="K22" s="71"/>
      <x:c r="L22" s="72"/>
      <x:c r="M22" s="72"/>
      <x:c r="N22" s="72"/>
      <x:c r="O22" s="71"/>
      <x:c r="P22" s="71"/>
      <x:c r="Q22" s="73"/>
      <x:c r="R22" s="72"/>
      <x:c r="S22" s="72"/>
      <x:c r="T22" s="73"/>
      <x:c r="U22" s="72"/>
      <x:c r="V22" s="72"/>
      <x:c r="W22" s="72"/>
    </x:row>
    <x:row r="23">
      <x:c r="A23" s="72"/>
      <x:c r="B23" s="72"/>
      <x:c r="C23" s="72"/>
      <x:c r="D23" s="72"/>
      <x:c r="E23" s="72"/>
      <x:c r="F23" s="72"/>
      <x:c r="G23" s="73"/>
      <x:c r="H23" s="71"/>
      <x:c r="I23" s="71"/>
      <x:c r="J23" s="72"/>
      <x:c r="K23" s="71"/>
      <x:c r="L23" s="72"/>
      <x:c r="M23" s="72"/>
      <x:c r="N23" s="72"/>
      <x:c r="O23" s="71"/>
      <x:c r="P23" s="71"/>
      <x:c r="Q23" s="73"/>
      <x:c r="R23" s="72"/>
      <x:c r="S23" s="72"/>
      <x:c r="T23" s="73"/>
      <x:c r="U23" s="72"/>
      <x:c r="V23" s="72"/>
      <x:c r="W23" s="72"/>
    </x:row>
    <x:row r="24">
      <x:c r="A24" s="72"/>
      <x:c r="B24" s="72"/>
      <x:c r="C24" s="72"/>
      <x:c r="D24" s="72"/>
      <x:c r="E24" s="72"/>
      <x:c r="F24" s="72"/>
      <x:c r="G24" s="73"/>
      <x:c r="H24" s="71"/>
      <x:c r="I24" s="71"/>
      <x:c r="J24" s="72"/>
      <x:c r="K24" s="71"/>
      <x:c r="L24" s="72"/>
      <x:c r="M24" s="72"/>
      <x:c r="N24" s="72"/>
      <x:c r="O24" s="71"/>
      <x:c r="P24" s="71"/>
      <x:c r="Q24" s="73"/>
      <x:c r="R24" s="72"/>
      <x:c r="S24" s="72"/>
      <x:c r="T24" s="73"/>
      <x:c r="U24" s="72"/>
      <x:c r="V24" s="72"/>
      <x:c r="W24" s="72"/>
    </x:row>
    <x:row r="25">
      <x:c r="A25" s="72"/>
      <x:c r="B25" s="72"/>
      <x:c r="C25" s="72"/>
      <x:c r="D25" s="72"/>
      <x:c r="E25" s="72"/>
      <x:c r="F25" s="72"/>
      <x:c r="G25" s="73"/>
      <x:c r="H25" s="71"/>
      <x:c r="I25" s="71"/>
      <x:c r="J25" s="72"/>
      <x:c r="K25" s="71"/>
      <x:c r="L25" s="72"/>
      <x:c r="M25" s="72"/>
      <x:c r="N25" s="72"/>
      <x:c r="O25" s="71"/>
      <x:c r="P25" s="71"/>
      <x:c r="Q25" s="73"/>
      <x:c r="R25" s="72"/>
      <x:c r="S25" s="72"/>
      <x:c r="T25" s="73"/>
      <x:c r="U25" s="72"/>
      <x:c r="V25" s="72"/>
      <x:c r="W25" s="72"/>
    </x:row>
    <x:row r="26">
      <x:c r="A26" s="72"/>
      <x:c r="B26" s="72"/>
      <x:c r="C26" s="72"/>
      <x:c r="D26" s="72"/>
      <x:c r="E26" s="72"/>
      <x:c r="F26" s="72"/>
      <x:c r="G26" s="73"/>
      <x:c r="H26" s="71"/>
      <x:c r="I26" s="71"/>
      <x:c r="J26" s="72"/>
      <x:c r="K26" s="71"/>
      <x:c r="L26" s="72"/>
      <x:c r="M26" s="72"/>
      <x:c r="N26" s="72"/>
      <x:c r="O26" s="71"/>
      <x:c r="P26" s="71"/>
      <x:c r="Q26" s="73"/>
      <x:c r="R26" s="72"/>
      <x:c r="S26" s="72"/>
      <x:c r="T26" s="73"/>
      <x:c r="U26" s="72"/>
      <x:c r="V26" s="72"/>
      <x:c r="W26" s="72"/>
    </x:row>
    <x:row r="27">
      <x:c r="A27" s="72"/>
      <x:c r="B27" s="72"/>
      <x:c r="C27" s="72"/>
      <x:c r="D27" s="72"/>
      <x:c r="E27" s="72"/>
      <x:c r="F27" s="72"/>
      <x:c r="G27" s="73"/>
      <x:c r="H27" s="71"/>
      <x:c r="I27" s="71"/>
      <x:c r="J27" s="72"/>
      <x:c r="K27" s="71"/>
      <x:c r="L27" s="72"/>
      <x:c r="M27" s="72"/>
      <x:c r="N27" s="72"/>
      <x:c r="O27" s="71"/>
      <x:c r="P27" s="71"/>
      <x:c r="Q27" s="73"/>
      <x:c r="R27" s="72"/>
      <x:c r="S27" s="72"/>
      <x:c r="T27" s="73"/>
      <x:c r="U27" s="72"/>
      <x:c r="V27" s="72"/>
      <x:c r="W27" s="72"/>
    </x:row>
    <x:row r="28">
      <x:c r="A28" s="72"/>
      <x:c r="B28" s="72"/>
      <x:c r="C28" s="72"/>
      <x:c r="D28" s="72"/>
      <x:c r="E28" s="72"/>
      <x:c r="F28" s="72"/>
      <x:c r="G28" s="73"/>
      <x:c r="H28" s="71"/>
      <x:c r="I28" s="71"/>
      <x:c r="J28" s="72"/>
      <x:c r="K28" s="71"/>
      <x:c r="L28" s="72"/>
      <x:c r="M28" s="72"/>
      <x:c r="N28" s="72"/>
      <x:c r="O28" s="71"/>
      <x:c r="P28" s="71"/>
      <x:c r="Q28" s="73"/>
      <x:c r="R28" s="72"/>
      <x:c r="S28" s="72"/>
      <x:c r="T28" s="73"/>
      <x:c r="U28" s="72"/>
      <x:c r="V28" s="72"/>
      <x:c r="W28" s="72"/>
    </x:row>
    <x:row r="29">
      <x:c r="A29" s="72"/>
      <x:c r="B29" s="72"/>
      <x:c r="C29" s="72"/>
      <x:c r="D29" s="72"/>
      <x:c r="E29" s="72"/>
      <x:c r="F29" s="72"/>
      <x:c r="G29" s="73"/>
      <x:c r="H29" s="71"/>
      <x:c r="I29" s="71"/>
      <x:c r="J29" s="72"/>
      <x:c r="K29" s="71"/>
      <x:c r="L29" s="72"/>
      <x:c r="M29" s="72"/>
      <x:c r="N29" s="72"/>
      <x:c r="O29" s="71"/>
      <x:c r="P29" s="71"/>
      <x:c r="Q29" s="73"/>
      <x:c r="R29" s="72"/>
      <x:c r="S29" s="72"/>
      <x:c r="T29" s="73"/>
      <x:c r="U29" s="72"/>
      <x:c r="V29" s="72"/>
      <x:c r="W29" s="72"/>
    </x:row>
    <x:row r="30">
      <x:c r="A30" s="72"/>
      <x:c r="B30" s="72"/>
      <x:c r="C30" s="72"/>
      <x:c r="D30" s="72"/>
      <x:c r="E30" s="72"/>
      <x:c r="F30" s="72"/>
      <x:c r="G30" s="73"/>
      <x:c r="H30" s="71"/>
      <x:c r="I30" s="71"/>
      <x:c r="J30" s="72"/>
      <x:c r="K30" s="71"/>
      <x:c r="L30" s="72"/>
      <x:c r="M30" s="72"/>
      <x:c r="N30" s="72"/>
      <x:c r="O30" s="71"/>
      <x:c r="P30" s="71"/>
      <x:c r="Q30" s="73"/>
      <x:c r="R30" s="72"/>
      <x:c r="S30" s="72"/>
      <x:c r="T30" s="73"/>
      <x:c r="U30" s="72"/>
      <x:c r="V30" s="72"/>
      <x:c r="W30" s="72"/>
    </x:row>
    <x:row r="31">
      <x:c r="A31" s="72"/>
      <x:c r="B31" s="72"/>
      <x:c r="C31" s="72"/>
      <x:c r="D31" s="72"/>
      <x:c r="E31" s="72"/>
      <x:c r="F31" s="72"/>
      <x:c r="G31" s="73"/>
      <x:c r="H31" s="71"/>
      <x:c r="I31" s="71"/>
      <x:c r="J31" s="72"/>
      <x:c r="K31" s="71"/>
      <x:c r="L31" s="72"/>
      <x:c r="M31" s="72"/>
      <x:c r="N31" s="72"/>
      <x:c r="O31" s="71"/>
      <x:c r="P31" s="71"/>
      <x:c r="Q31" s="73"/>
      <x:c r="R31" s="72"/>
      <x:c r="S31" s="72"/>
      <x:c r="T31" s="73"/>
      <x:c r="U31" s="72"/>
      <x:c r="V31" s="72"/>
      <x:c r="W31" s="72"/>
    </x:row>
    <x:row r="32">
      <x:c r="A32" s="72"/>
      <x:c r="B32" s="72"/>
      <x:c r="C32" s="72"/>
      <x:c r="D32" s="72"/>
      <x:c r="E32" s="72"/>
      <x:c r="F32" s="72"/>
      <x:c r="G32" s="73"/>
      <x:c r="H32" s="71"/>
      <x:c r="I32" s="71"/>
      <x:c r="J32" s="72"/>
      <x:c r="K32" s="71"/>
      <x:c r="L32" s="72"/>
      <x:c r="M32" s="72"/>
      <x:c r="N32" s="72"/>
      <x:c r="O32" s="71"/>
      <x:c r="P32" s="71"/>
      <x:c r="Q32" s="73"/>
      <x:c r="R32" s="72"/>
      <x:c r="S32" s="72"/>
      <x:c r="T32" s="73"/>
      <x:c r="U32" s="72"/>
      <x:c r="V32" s="72"/>
      <x:c r="W32" s="72"/>
    </x:row>
    <x:row r="33">
      <x:c r="A33" s="72"/>
      <x:c r="B33" s="72"/>
      <x:c r="C33" s="72"/>
      <x:c r="D33" s="72"/>
      <x:c r="E33" s="72"/>
      <x:c r="F33" s="72"/>
      <x:c r="G33" s="73"/>
      <x:c r="H33" s="71"/>
      <x:c r="I33" s="71"/>
      <x:c r="J33" s="72"/>
      <x:c r="K33" s="71"/>
      <x:c r="L33" s="72"/>
      <x:c r="M33" s="72"/>
      <x:c r="N33" s="72"/>
      <x:c r="O33" s="71"/>
      <x:c r="P33" s="71"/>
      <x:c r="Q33" s="73"/>
      <x:c r="R33" s="72"/>
      <x:c r="S33" s="72"/>
      <x:c r="T33" s="73"/>
      <x:c r="U33" s="72"/>
      <x:c r="V33" s="72"/>
      <x:c r="W33" s="72"/>
    </x:row>
    <x:row r="34">
      <x:c r="A34" s="72"/>
      <x:c r="B34" s="72"/>
      <x:c r="C34" s="72"/>
      <x:c r="D34" s="72"/>
      <x:c r="E34" s="72"/>
      <x:c r="F34" s="72"/>
      <x:c r="G34" s="73"/>
      <x:c r="H34" s="71"/>
      <x:c r="I34" s="71"/>
      <x:c r="J34" s="72"/>
      <x:c r="K34" s="71"/>
      <x:c r="L34" s="72"/>
      <x:c r="M34" s="72"/>
      <x:c r="N34" s="72"/>
      <x:c r="O34" s="71"/>
      <x:c r="P34" s="71"/>
      <x:c r="Q34" s="73"/>
      <x:c r="R34" s="72"/>
      <x:c r="S34" s="72"/>
      <x:c r="T34" s="73"/>
      <x:c r="U34" s="72"/>
      <x:c r="V34" s="72"/>
      <x:c r="W34" s="72"/>
    </x:row>
    <x:row r="35">
      <x:c r="A35" s="72"/>
      <x:c r="B35" s="72"/>
      <x:c r="C35" s="72"/>
      <x:c r="D35" s="72"/>
      <x:c r="E35" s="72"/>
      <x:c r="F35" s="72"/>
      <x:c r="G35" s="73"/>
      <x:c r="H35" s="71"/>
      <x:c r="I35" s="71"/>
      <x:c r="J35" s="72"/>
      <x:c r="K35" s="71"/>
      <x:c r="L35" s="72"/>
      <x:c r="M35" s="72"/>
      <x:c r="N35" s="72"/>
      <x:c r="O35" s="71"/>
      <x:c r="P35" s="71"/>
      <x:c r="Q35" s="73"/>
      <x:c r="R35" s="72"/>
      <x:c r="S35" s="72"/>
      <x:c r="T35" s="73"/>
      <x:c r="U35" s="72"/>
      <x:c r="V35" s="72"/>
      <x:c r="W35" s="72"/>
    </x:row>
    <x:row r="36">
      <x:c r="A36" s="72"/>
      <x:c r="B36" s="72"/>
      <x:c r="C36" s="72"/>
      <x:c r="D36" s="72"/>
      <x:c r="E36" s="72"/>
      <x:c r="F36" s="72"/>
      <x:c r="G36" s="73"/>
      <x:c r="H36" s="71"/>
      <x:c r="I36" s="71"/>
      <x:c r="J36" s="72"/>
      <x:c r="K36" s="71"/>
      <x:c r="L36" s="72"/>
      <x:c r="M36" s="72"/>
      <x:c r="N36" s="72"/>
      <x:c r="O36" s="71"/>
      <x:c r="P36" s="71"/>
      <x:c r="Q36" s="73"/>
      <x:c r="R36" s="72"/>
      <x:c r="S36" s="72"/>
      <x:c r="T36" s="73"/>
      <x:c r="U36" s="72"/>
      <x:c r="V36" s="72"/>
      <x:c r="W36" s="72"/>
    </x:row>
    <x:row r="37">
      <x:c r="A37" s="72"/>
      <x:c r="B37" s="72"/>
      <x:c r="C37" s="72"/>
      <x:c r="D37" s="72"/>
      <x:c r="E37" s="72"/>
      <x:c r="F37" s="72"/>
      <x:c r="G37" s="73"/>
      <x:c r="H37" s="71"/>
      <x:c r="I37" s="71"/>
      <x:c r="J37" s="72"/>
      <x:c r="K37" s="71"/>
      <x:c r="L37" s="72"/>
      <x:c r="M37" s="72"/>
      <x:c r="N37" s="72"/>
      <x:c r="O37" s="71"/>
      <x:c r="P37" s="71"/>
      <x:c r="Q37" s="73"/>
      <x:c r="R37" s="72"/>
      <x:c r="S37" s="72"/>
      <x:c r="T37" s="73"/>
      <x:c r="U37" s="72"/>
      <x:c r="V37" s="72"/>
      <x:c r="W37" s="72"/>
    </x:row>
    <x:row r="38">
      <x:c r="A38" s="72"/>
      <x:c r="B38" s="72"/>
      <x:c r="C38" s="72"/>
      <x:c r="D38" s="72"/>
      <x:c r="E38" s="72"/>
      <x:c r="F38" s="72"/>
      <x:c r="G38" s="73"/>
      <x:c r="H38" s="71"/>
      <x:c r="I38" s="71"/>
      <x:c r="J38" s="72"/>
      <x:c r="K38" s="71"/>
      <x:c r="L38" s="72"/>
      <x:c r="M38" s="72"/>
      <x:c r="N38" s="72"/>
      <x:c r="O38" s="71"/>
      <x:c r="P38" s="71"/>
      <x:c r="Q38" s="73"/>
      <x:c r="R38" s="72"/>
      <x:c r="S38" s="72"/>
      <x:c r="T38" s="73"/>
      <x:c r="U38" s="72"/>
      <x:c r="V38" s="72"/>
      <x:c r="W38" s="72"/>
    </x:row>
    <x:row r="39">
      <x:c r="A39" s="72"/>
      <x:c r="B39" s="72"/>
      <x:c r="C39" s="72"/>
      <x:c r="D39" s="72"/>
      <x:c r="E39" s="72"/>
      <x:c r="F39" s="72"/>
      <x:c r="G39" s="73"/>
      <x:c r="H39" s="71"/>
      <x:c r="I39" s="71"/>
      <x:c r="J39" s="72"/>
      <x:c r="K39" s="71"/>
      <x:c r="L39" s="72"/>
      <x:c r="M39" s="72"/>
      <x:c r="N39" s="72"/>
      <x:c r="O39" s="71"/>
      <x:c r="P39" s="71"/>
      <x:c r="Q39" s="73"/>
      <x:c r="R39" s="72"/>
      <x:c r="S39" s="72"/>
      <x:c r="T39" s="73"/>
      <x:c r="U39" s="72"/>
      <x:c r="V39" s="72"/>
      <x:c r="W39" s="72"/>
    </x:row>
    <x:row r="40">
      <x:c r="A40" s="72"/>
      <x:c r="B40" s="72"/>
      <x:c r="C40" s="72"/>
      <x:c r="D40" s="72"/>
      <x:c r="E40" s="72"/>
      <x:c r="F40" s="72"/>
      <x:c r="G40" s="73"/>
      <x:c r="H40" s="71"/>
      <x:c r="I40" s="71"/>
      <x:c r="J40" s="72"/>
      <x:c r="K40" s="71"/>
      <x:c r="L40" s="72"/>
      <x:c r="M40" s="72"/>
      <x:c r="N40" s="72"/>
      <x:c r="O40" s="71"/>
      <x:c r="P40" s="71"/>
      <x:c r="Q40" s="73"/>
      <x:c r="R40" s="72"/>
      <x:c r="S40" s="72"/>
      <x:c r="T40" s="73"/>
      <x:c r="U40" s="72"/>
      <x:c r="V40" s="72"/>
      <x:c r="W40" s="72"/>
    </x:row>
    <x:row r="41">
      <x:c r="A41" s="72"/>
      <x:c r="B41" s="72"/>
      <x:c r="C41" s="72"/>
      <x:c r="D41" s="72"/>
      <x:c r="E41" s="72"/>
      <x:c r="F41" s="72"/>
      <x:c r="G41" s="73"/>
      <x:c r="H41" s="71"/>
      <x:c r="I41" s="71"/>
      <x:c r="J41" s="72"/>
      <x:c r="K41" s="71"/>
      <x:c r="L41" s="72"/>
      <x:c r="M41" s="72"/>
      <x:c r="N41" s="72"/>
      <x:c r="O41" s="71"/>
      <x:c r="P41" s="71"/>
      <x:c r="Q41" s="73"/>
      <x:c r="R41" s="72"/>
      <x:c r="S41" s="72"/>
      <x:c r="T41" s="73"/>
      <x:c r="U41" s="72"/>
      <x:c r="V41" s="72"/>
      <x:c r="W41" s="72"/>
    </x:row>
    <x:row r="42">
      <x:c r="A42" s="72"/>
      <x:c r="B42" s="72"/>
      <x:c r="C42" s="72"/>
      <x:c r="D42" s="72"/>
      <x:c r="E42" s="72"/>
      <x:c r="F42" s="72"/>
      <x:c r="G42" s="73"/>
      <x:c r="H42" s="71"/>
      <x:c r="I42" s="71"/>
      <x:c r="J42" s="72"/>
      <x:c r="K42" s="71"/>
      <x:c r="L42" s="72"/>
      <x:c r="M42" s="72"/>
      <x:c r="N42" s="72"/>
      <x:c r="O42" s="71"/>
      <x:c r="P42" s="71"/>
      <x:c r="Q42" s="73"/>
      <x:c r="R42" s="72"/>
      <x:c r="S42" s="72"/>
      <x:c r="T42" s="73"/>
      <x:c r="U42" s="72"/>
      <x:c r="V42" s="72"/>
      <x:c r="W42" s="72"/>
    </x:row>
    <x:row r="43">
      <x:c r="A43" s="72"/>
      <x:c r="B43" s="72"/>
      <x:c r="C43" s="72"/>
      <x:c r="D43" s="72"/>
      <x:c r="E43" s="72"/>
      <x:c r="F43" s="72"/>
      <x:c r="G43" s="73"/>
      <x:c r="H43" s="71"/>
      <x:c r="I43" s="71"/>
      <x:c r="J43" s="72"/>
      <x:c r="K43" s="71"/>
      <x:c r="L43" s="72"/>
      <x:c r="M43" s="72"/>
      <x:c r="N43" s="72"/>
      <x:c r="O43" s="71"/>
      <x:c r="P43" s="71"/>
      <x:c r="Q43" s="73"/>
      <x:c r="R43" s="72"/>
      <x:c r="S43" s="72"/>
      <x:c r="T43" s="73"/>
      <x:c r="U43" s="72"/>
      <x:c r="V43" s="72"/>
      <x:c r="W43" s="72"/>
    </x:row>
    <x:row r="44">
      <x:c r="A44" s="72"/>
      <x:c r="B44" s="72"/>
      <x:c r="C44" s="72"/>
      <x:c r="D44" s="72"/>
      <x:c r="E44" s="72"/>
      <x:c r="F44" s="72"/>
      <x:c r="G44" s="73"/>
      <x:c r="H44" s="71"/>
      <x:c r="I44" s="71"/>
      <x:c r="J44" s="72"/>
      <x:c r="K44" s="71"/>
      <x:c r="L44" s="72"/>
      <x:c r="M44" s="72"/>
      <x:c r="N44" s="72"/>
      <x:c r="O44" s="71"/>
      <x:c r="P44" s="71"/>
      <x:c r="Q44" s="73"/>
      <x:c r="R44" s="72"/>
      <x:c r="S44" s="72"/>
      <x:c r="T44" s="73"/>
      <x:c r="U44" s="72"/>
      <x:c r="V44" s="72"/>
      <x:c r="W44" s="72"/>
    </x:row>
    <x:row r="45">
      <x:c r="A45" s="72"/>
      <x:c r="B45" s="72"/>
      <x:c r="C45" s="72"/>
      <x:c r="D45" s="72"/>
      <x:c r="E45" s="72"/>
      <x:c r="F45" s="72"/>
      <x:c r="G45" s="73"/>
      <x:c r="H45" s="71"/>
      <x:c r="I45" s="71"/>
      <x:c r="J45" s="72"/>
      <x:c r="K45" s="71"/>
      <x:c r="L45" s="72"/>
      <x:c r="M45" s="72"/>
      <x:c r="N45" s="72"/>
      <x:c r="O45" s="71"/>
      <x:c r="P45" s="71"/>
      <x:c r="Q45" s="73"/>
      <x:c r="R45" s="72"/>
      <x:c r="S45" s="72"/>
      <x:c r="T45" s="73"/>
      <x:c r="U45" s="72"/>
      <x:c r="V45" s="72"/>
      <x:c r="W45" s="72"/>
    </x:row>
    <x:row r="46">
      <x:c r="A46" s="72"/>
      <x:c r="B46" s="72"/>
      <x:c r="C46" s="72"/>
      <x:c r="D46" s="72"/>
      <x:c r="E46" s="72"/>
      <x:c r="F46" s="72"/>
      <x:c r="G46" s="73"/>
      <x:c r="H46" s="71"/>
      <x:c r="I46" s="71"/>
      <x:c r="J46" s="72"/>
      <x:c r="K46" s="71"/>
      <x:c r="L46" s="72"/>
      <x:c r="M46" s="72"/>
      <x:c r="N46" s="72"/>
      <x:c r="O46" s="71"/>
      <x:c r="P46" s="71"/>
      <x:c r="Q46" s="73"/>
      <x:c r="R46" s="72"/>
      <x:c r="S46" s="72"/>
      <x:c r="T46" s="73"/>
      <x:c r="U46" s="72"/>
      <x:c r="V46" s="72"/>
      <x:c r="W46" s="72"/>
    </x:row>
    <x:row r="47">
      <x:c r="A47" s="72"/>
      <x:c r="B47" s="72"/>
      <x:c r="C47" s="72"/>
      <x:c r="D47" s="72"/>
      <x:c r="E47" s="72"/>
      <x:c r="F47" s="72"/>
      <x:c r="G47" s="73"/>
      <x:c r="H47" s="71"/>
      <x:c r="I47" s="71"/>
      <x:c r="J47" s="72"/>
      <x:c r="K47" s="71"/>
      <x:c r="L47" s="72"/>
      <x:c r="M47" s="72"/>
      <x:c r="N47" s="72"/>
      <x:c r="O47" s="71"/>
      <x:c r="P47" s="71"/>
      <x:c r="Q47" s="73"/>
      <x:c r="R47" s="72"/>
      <x:c r="S47" s="72"/>
      <x:c r="T47" s="73"/>
      <x:c r="U47" s="72"/>
      <x:c r="V47" s="72"/>
      <x:c r="W47" s="72"/>
    </x:row>
    <x:row r="48">
      <x:c r="A48" s="72"/>
      <x:c r="B48" s="72"/>
      <x:c r="C48" s="72"/>
      <x:c r="D48" s="72"/>
      <x:c r="E48" s="72"/>
      <x:c r="F48" s="72"/>
      <x:c r="G48" s="73"/>
      <x:c r="H48" s="71"/>
      <x:c r="I48" s="71"/>
      <x:c r="J48" s="72"/>
      <x:c r="K48" s="71"/>
      <x:c r="L48" s="72"/>
      <x:c r="M48" s="72"/>
      <x:c r="N48" s="72"/>
      <x:c r="O48" s="71"/>
      <x:c r="P48" s="71"/>
      <x:c r="Q48" s="73"/>
      <x:c r="R48" s="72"/>
      <x:c r="S48" s="72"/>
      <x:c r="T48" s="73"/>
      <x:c r="U48" s="72"/>
      <x:c r="V48" s="72"/>
      <x:c r="W48" s="72"/>
    </x:row>
    <x:row r="49">
      <x:c r="A49" s="72"/>
      <x:c r="B49" s="72"/>
      <x:c r="C49" s="72"/>
      <x:c r="D49" s="72"/>
      <x:c r="E49" s="72"/>
      <x:c r="F49" s="72"/>
      <x:c r="G49" s="73"/>
      <x:c r="H49" s="71"/>
      <x:c r="I49" s="71"/>
      <x:c r="J49" s="72"/>
      <x:c r="K49" s="71"/>
      <x:c r="L49" s="72"/>
      <x:c r="M49" s="72"/>
      <x:c r="N49" s="72"/>
      <x:c r="O49" s="71"/>
      <x:c r="P49" s="71"/>
      <x:c r="Q49" s="73"/>
      <x:c r="R49" s="72"/>
      <x:c r="S49" s="72"/>
      <x:c r="T49" s="73"/>
      <x:c r="U49" s="72"/>
      <x:c r="V49" s="72"/>
      <x:c r="W49" s="72"/>
    </x:row>
    <x:row r="50">
      <x:c r="A50" s="72"/>
      <x:c r="B50" s="72"/>
      <x:c r="C50" s="72"/>
      <x:c r="D50" s="72"/>
      <x:c r="E50" s="72"/>
      <x:c r="F50" s="72"/>
      <x:c r="G50" s="73"/>
      <x:c r="H50" s="71"/>
      <x:c r="I50" s="71"/>
      <x:c r="J50" s="72"/>
      <x:c r="K50" s="71"/>
      <x:c r="L50" s="72"/>
      <x:c r="M50" s="72"/>
      <x:c r="N50" s="72"/>
      <x:c r="O50" s="71"/>
      <x:c r="P50" s="71"/>
      <x:c r="Q50" s="73"/>
      <x:c r="R50" s="72"/>
      <x:c r="S50" s="72"/>
      <x:c r="T50" s="73"/>
      <x:c r="U50" s="72"/>
      <x:c r="V50" s="72"/>
      <x:c r="W50" s="72"/>
    </x:row>
    <x:row r="51">
      <x:c r="A51" s="72"/>
      <x:c r="B51" s="72"/>
      <x:c r="C51" s="72"/>
      <x:c r="D51" s="72"/>
      <x:c r="E51" s="72"/>
      <x:c r="F51" s="72"/>
      <x:c r="G51" s="73"/>
      <x:c r="H51" s="71"/>
      <x:c r="I51" s="71"/>
      <x:c r="J51" s="72"/>
      <x:c r="K51" s="71"/>
      <x:c r="L51" s="72"/>
      <x:c r="M51" s="72"/>
      <x:c r="N51" s="72"/>
      <x:c r="O51" s="71"/>
      <x:c r="P51" s="71"/>
      <x:c r="Q51" s="73"/>
      <x:c r="R51" s="72"/>
      <x:c r="S51" s="72"/>
      <x:c r="T51" s="73"/>
      <x:c r="U51" s="72"/>
      <x:c r="V51" s="72"/>
      <x:c r="W51" s="72"/>
    </x:row>
    <x:row r="52">
      <x:c r="A52" s="72"/>
      <x:c r="B52" s="72"/>
      <x:c r="C52" s="72"/>
      <x:c r="D52" s="72"/>
      <x:c r="E52" s="72"/>
      <x:c r="F52" s="72"/>
      <x:c r="G52" s="73"/>
      <x:c r="H52" s="71"/>
      <x:c r="I52" s="71"/>
      <x:c r="J52" s="72"/>
      <x:c r="K52" s="71"/>
      <x:c r="L52" s="72"/>
      <x:c r="M52" s="72"/>
      <x:c r="N52" s="72"/>
      <x:c r="O52" s="71"/>
      <x:c r="P52" s="71"/>
      <x:c r="Q52" s="73"/>
      <x:c r="R52" s="72"/>
      <x:c r="S52" s="72"/>
      <x:c r="T52" s="73"/>
      <x:c r="U52" s="72"/>
      <x:c r="V52" s="72"/>
      <x:c r="W52" s="72"/>
    </x:row>
    <x:row r="53">
      <x:c r="A53" s="72"/>
      <x:c r="B53" s="72"/>
      <x:c r="C53" s="72"/>
      <x:c r="D53" s="72"/>
      <x:c r="E53" s="72"/>
      <x:c r="F53" s="72"/>
      <x:c r="G53" s="73"/>
      <x:c r="H53" s="71"/>
      <x:c r="I53" s="71"/>
      <x:c r="J53" s="72"/>
      <x:c r="K53" s="71"/>
      <x:c r="L53" s="72"/>
      <x:c r="M53" s="72"/>
      <x:c r="N53" s="72"/>
      <x:c r="O53" s="71"/>
      <x:c r="P53" s="71"/>
      <x:c r="Q53" s="73"/>
      <x:c r="R53" s="72"/>
      <x:c r="S53" s="72"/>
      <x:c r="T53" s="73"/>
      <x:c r="U53" s="72"/>
      <x:c r="V53" s="72"/>
      <x:c r="W53" s="72"/>
    </x:row>
    <x:row r="54">
      <x:c r="A54" s="72"/>
      <x:c r="B54" s="72"/>
      <x:c r="C54" s="72"/>
      <x:c r="D54" s="72"/>
      <x:c r="E54" s="72"/>
      <x:c r="F54" s="72"/>
      <x:c r="G54" s="73"/>
      <x:c r="H54" s="71"/>
      <x:c r="I54" s="71"/>
      <x:c r="J54" s="72"/>
      <x:c r="K54" s="71"/>
      <x:c r="L54" s="72"/>
      <x:c r="M54" s="72"/>
      <x:c r="N54" s="72"/>
      <x:c r="O54" s="71"/>
      <x:c r="P54" s="71"/>
      <x:c r="Q54" s="73"/>
      <x:c r="R54" s="72"/>
      <x:c r="S54" s="72"/>
      <x:c r="T54" s="73"/>
      <x:c r="U54" s="72"/>
      <x:c r="V54" s="72"/>
      <x:c r="W54" s="72"/>
    </x:row>
    <x:row r="55">
      <x:c r="A55" s="72"/>
      <x:c r="B55" s="72"/>
      <x:c r="C55" s="72"/>
      <x:c r="D55" s="72"/>
      <x:c r="E55" s="72"/>
      <x:c r="F55" s="72"/>
      <x:c r="G55" s="73"/>
      <x:c r="H55" s="71"/>
      <x:c r="I55" s="71"/>
      <x:c r="J55" s="72"/>
      <x:c r="K55" s="71"/>
      <x:c r="L55" s="72"/>
      <x:c r="M55" s="72"/>
      <x:c r="N55" s="72"/>
      <x:c r="O55" s="71"/>
      <x:c r="P55" s="71"/>
      <x:c r="Q55" s="73"/>
      <x:c r="R55" s="72"/>
      <x:c r="S55" s="72"/>
      <x:c r="T55" s="73"/>
      <x:c r="U55" s="72"/>
      <x:c r="V55" s="72"/>
      <x:c r="W55" s="72"/>
    </x:row>
    <x:row r="56">
      <x:c r="A56" s="72"/>
      <x:c r="B56" s="72"/>
      <x:c r="C56" s="72"/>
      <x:c r="D56" s="72"/>
      <x:c r="E56" s="72"/>
      <x:c r="F56" s="72"/>
      <x:c r="G56" s="73"/>
      <x:c r="H56" s="71"/>
      <x:c r="I56" s="71"/>
      <x:c r="J56" s="72"/>
      <x:c r="K56" s="71"/>
      <x:c r="L56" s="72"/>
      <x:c r="M56" s="72"/>
      <x:c r="N56" s="72"/>
      <x:c r="O56" s="71"/>
      <x:c r="P56" s="71"/>
      <x:c r="Q56" s="73"/>
      <x:c r="R56" s="72"/>
      <x:c r="S56" s="72"/>
      <x:c r="T56" s="73"/>
      <x:c r="U56" s="72"/>
      <x:c r="V56" s="72"/>
      <x:c r="W56" s="72"/>
    </x:row>
    <x:row r="57">
      <x:c r="A57" s="72"/>
      <x:c r="B57" s="72"/>
      <x:c r="C57" s="72"/>
      <x:c r="D57" s="72"/>
      <x:c r="E57" s="72"/>
      <x:c r="F57" s="72"/>
      <x:c r="G57" s="73"/>
      <x:c r="H57" s="71"/>
      <x:c r="I57" s="71"/>
      <x:c r="J57" s="72"/>
      <x:c r="K57" s="71"/>
      <x:c r="L57" s="72"/>
      <x:c r="M57" s="72"/>
      <x:c r="N57" s="72"/>
      <x:c r="O57" s="71"/>
      <x:c r="P57" s="71"/>
      <x:c r="Q57" s="73"/>
      <x:c r="R57" s="72"/>
      <x:c r="S57" s="72"/>
      <x:c r="T57" s="73"/>
      <x:c r="U57" s="72"/>
      <x:c r="V57" s="72"/>
      <x:c r="W57" s="72"/>
    </x:row>
    <x:row r="58">
      <x:c r="A58" s="72"/>
      <x:c r="B58" s="72"/>
      <x:c r="C58" s="72"/>
      <x:c r="D58" s="72"/>
      <x:c r="E58" s="72"/>
      <x:c r="F58" s="72"/>
      <x:c r="G58" s="73"/>
      <x:c r="H58" s="71"/>
      <x:c r="I58" s="71"/>
      <x:c r="J58" s="72"/>
      <x:c r="K58" s="71"/>
      <x:c r="L58" s="72"/>
      <x:c r="M58" s="72"/>
      <x:c r="N58" s="72"/>
      <x:c r="O58" s="71"/>
      <x:c r="P58" s="71"/>
      <x:c r="Q58" s="73"/>
      <x:c r="R58" s="72"/>
      <x:c r="S58" s="72"/>
      <x:c r="T58" s="73"/>
      <x:c r="U58" s="72"/>
      <x:c r="V58" s="72"/>
      <x:c r="W58" s="72"/>
    </x:row>
    <x:row r="59">
      <x:c r="A59" s="72"/>
      <x:c r="B59" s="72"/>
      <x:c r="C59" s="72"/>
      <x:c r="D59" s="72"/>
      <x:c r="E59" s="72"/>
      <x:c r="F59" s="72"/>
      <x:c r="G59" s="73"/>
      <x:c r="H59" s="71"/>
      <x:c r="I59" s="71"/>
      <x:c r="J59" s="72"/>
      <x:c r="K59" s="71"/>
      <x:c r="L59" s="72"/>
      <x:c r="M59" s="72"/>
      <x:c r="N59" s="72"/>
      <x:c r="O59" s="71"/>
      <x:c r="P59" s="71"/>
      <x:c r="Q59" s="73"/>
      <x:c r="R59" s="72"/>
      <x:c r="S59" s="72"/>
      <x:c r="T59" s="73"/>
      <x:c r="U59" s="72"/>
      <x:c r="V59" s="72"/>
      <x:c r="W59" s="72"/>
    </x:row>
    <x:row r="60">
      <x:c r="A60" s="72"/>
      <x:c r="B60" s="72"/>
      <x:c r="C60" s="72"/>
      <x:c r="D60" s="72"/>
      <x:c r="E60" s="72"/>
      <x:c r="F60" s="72"/>
      <x:c r="G60" s="73"/>
      <x:c r="H60" s="71"/>
      <x:c r="I60" s="71"/>
      <x:c r="J60" s="72"/>
      <x:c r="K60" s="71"/>
      <x:c r="L60" s="72"/>
      <x:c r="M60" s="72"/>
      <x:c r="N60" s="72"/>
      <x:c r="O60" s="71"/>
      <x:c r="P60" s="71"/>
      <x:c r="Q60" s="73"/>
      <x:c r="R60" s="72"/>
      <x:c r="S60" s="72"/>
      <x:c r="T60" s="73"/>
      <x:c r="U60" s="72"/>
      <x:c r="V60" s="72"/>
      <x:c r="W60" s="72"/>
    </x:row>
    <x:row r="61">
      <x:c r="A61" s="72"/>
      <x:c r="B61" s="72"/>
      <x:c r="C61" s="72"/>
      <x:c r="D61" s="72"/>
      <x:c r="E61" s="72"/>
      <x:c r="F61" s="72"/>
      <x:c r="G61" s="73"/>
      <x:c r="H61" s="71"/>
      <x:c r="I61" s="71"/>
      <x:c r="J61" s="72"/>
      <x:c r="K61" s="71"/>
      <x:c r="L61" s="72"/>
      <x:c r="M61" s="72"/>
      <x:c r="N61" s="72"/>
      <x:c r="O61" s="71"/>
      <x:c r="P61" s="71"/>
      <x:c r="Q61" s="73"/>
      <x:c r="R61" s="72"/>
      <x:c r="S61" s="72"/>
      <x:c r="T61" s="73"/>
      <x:c r="U61" s="72"/>
      <x:c r="V61" s="72"/>
      <x:c r="W61" s="72"/>
    </x:row>
    <x:row r="62">
      <x:c r="A62" s="72"/>
      <x:c r="B62" s="72"/>
      <x:c r="C62" s="72"/>
      <x:c r="D62" s="72"/>
      <x:c r="E62" s="72"/>
      <x:c r="F62" s="72"/>
      <x:c r="G62" s="73"/>
      <x:c r="H62" s="71"/>
      <x:c r="I62" s="71"/>
      <x:c r="J62" s="72"/>
      <x:c r="K62" s="71"/>
      <x:c r="L62" s="72"/>
      <x:c r="M62" s="72"/>
      <x:c r="N62" s="72"/>
      <x:c r="O62" s="71"/>
      <x:c r="P62" s="71"/>
      <x:c r="Q62" s="73"/>
      <x:c r="R62" s="72"/>
      <x:c r="S62" s="72"/>
      <x:c r="T62" s="73"/>
      <x:c r="U62" s="72"/>
      <x:c r="V62" s="72"/>
      <x:c r="W62" s="72"/>
    </x:row>
    <x:row r="63">
      <x:c r="A63" s="72"/>
      <x:c r="B63" s="72"/>
      <x:c r="C63" s="72"/>
      <x:c r="D63" s="72"/>
      <x:c r="E63" s="72"/>
      <x:c r="F63" s="72"/>
      <x:c r="G63" s="73"/>
      <x:c r="H63" s="71"/>
      <x:c r="I63" s="71"/>
      <x:c r="J63" s="72"/>
      <x:c r="K63" s="71"/>
      <x:c r="L63" s="72"/>
      <x:c r="M63" s="72"/>
      <x:c r="N63" s="72"/>
      <x:c r="O63" s="71"/>
      <x:c r="P63" s="71"/>
      <x:c r="Q63" s="73"/>
      <x:c r="R63" s="72"/>
      <x:c r="S63" s="72"/>
      <x:c r="T63" s="73"/>
      <x:c r="U63" s="72"/>
      <x:c r="V63" s="72"/>
      <x:c r="W63" s="72"/>
    </x:row>
    <x:row r="64">
      <x:c r="A64" s="72"/>
      <x:c r="B64" s="72"/>
      <x:c r="C64" s="72"/>
      <x:c r="D64" s="72"/>
      <x:c r="E64" s="72"/>
      <x:c r="F64" s="72"/>
      <x:c r="G64" s="73"/>
      <x:c r="H64" s="71"/>
      <x:c r="I64" s="71"/>
      <x:c r="J64" s="72"/>
      <x:c r="K64" s="71"/>
      <x:c r="L64" s="72"/>
      <x:c r="M64" s="72"/>
      <x:c r="N64" s="72"/>
      <x:c r="O64" s="71"/>
      <x:c r="P64" s="71"/>
      <x:c r="Q64" s="73"/>
      <x:c r="R64" s="72"/>
      <x:c r="S64" s="72"/>
      <x:c r="T64" s="73"/>
      <x:c r="U64" s="72"/>
      <x:c r="V64" s="72"/>
      <x:c r="W64" s="72"/>
    </x:row>
    <x:row r="65">
      <x:c r="A65" s="72"/>
      <x:c r="B65" s="72"/>
      <x:c r="C65" s="72"/>
      <x:c r="D65" s="72"/>
      <x:c r="E65" s="72"/>
      <x:c r="F65" s="72"/>
      <x:c r="G65" s="73"/>
      <x:c r="H65" s="71"/>
      <x:c r="I65" s="71"/>
      <x:c r="J65" s="72"/>
      <x:c r="K65" s="71"/>
      <x:c r="L65" s="72"/>
      <x:c r="M65" s="72"/>
      <x:c r="N65" s="72"/>
      <x:c r="O65" s="71"/>
      <x:c r="P65" s="71"/>
      <x:c r="Q65" s="73"/>
      <x:c r="R65" s="72"/>
      <x:c r="S65" s="72"/>
      <x:c r="T65" s="73"/>
      <x:c r="U65" s="72"/>
      <x:c r="V65" s="72"/>
      <x:c r="W65" s="72"/>
    </x:row>
    <x:row r="66">
      <x:c r="A66" s="72"/>
      <x:c r="B66" s="72"/>
      <x:c r="C66" s="72"/>
      <x:c r="D66" s="72"/>
      <x:c r="E66" s="72"/>
      <x:c r="F66" s="72"/>
      <x:c r="G66" s="73"/>
      <x:c r="H66" s="71"/>
      <x:c r="I66" s="71"/>
      <x:c r="J66" s="72"/>
      <x:c r="K66" s="71"/>
      <x:c r="L66" s="72"/>
      <x:c r="M66" s="72"/>
      <x:c r="N66" s="72"/>
      <x:c r="O66" s="71"/>
      <x:c r="P66" s="71"/>
      <x:c r="Q66" s="73"/>
      <x:c r="R66" s="72"/>
      <x:c r="S66" s="72"/>
      <x:c r="T66" s="73"/>
      <x:c r="U66" s="72"/>
      <x:c r="V66" s="72"/>
      <x:c r="W66" s="72"/>
    </x:row>
    <x:row r="67">
      <x:c r="A67" s="72"/>
      <x:c r="B67" s="72"/>
      <x:c r="C67" s="72"/>
      <x:c r="D67" s="72"/>
      <x:c r="E67" s="72"/>
      <x:c r="F67" s="72"/>
      <x:c r="G67" s="73"/>
      <x:c r="H67" s="71"/>
      <x:c r="I67" s="71"/>
      <x:c r="J67" s="72"/>
      <x:c r="K67" s="71"/>
      <x:c r="L67" s="72"/>
      <x:c r="M67" s="72"/>
      <x:c r="N67" s="72"/>
      <x:c r="O67" s="71"/>
      <x:c r="P67" s="71"/>
      <x:c r="Q67" s="73"/>
      <x:c r="R67" s="72"/>
      <x:c r="S67" s="72"/>
      <x:c r="T67" s="73"/>
      <x:c r="U67" s="72"/>
      <x:c r="V67" s="72"/>
      <x:c r="W67" s="72"/>
    </x:row>
    <x:row r="68">
      <x:c r="A68" s="72"/>
      <x:c r="B68" s="72"/>
      <x:c r="C68" s="72"/>
      <x:c r="D68" s="72"/>
      <x:c r="E68" s="72"/>
      <x:c r="F68" s="72"/>
      <x:c r="G68" s="73"/>
      <x:c r="H68" s="71"/>
      <x:c r="I68" s="71"/>
      <x:c r="J68" s="72"/>
      <x:c r="K68" s="71"/>
      <x:c r="L68" s="72"/>
      <x:c r="M68" s="72"/>
      <x:c r="N68" s="72"/>
      <x:c r="O68" s="71"/>
      <x:c r="P68" s="71"/>
      <x:c r="Q68" s="73"/>
      <x:c r="R68" s="72"/>
      <x:c r="S68" s="72"/>
      <x:c r="T68" s="73"/>
      <x:c r="U68" s="72"/>
      <x:c r="V68" s="72"/>
      <x:c r="W68" s="72"/>
    </x:row>
    <x:row r="69">
      <x:c r="A69" s="72"/>
      <x:c r="B69" s="72"/>
      <x:c r="C69" s="72"/>
      <x:c r="D69" s="72"/>
      <x:c r="E69" s="72"/>
      <x:c r="F69" s="72"/>
      <x:c r="G69" s="73"/>
      <x:c r="H69" s="71"/>
      <x:c r="I69" s="71"/>
      <x:c r="J69" s="72"/>
      <x:c r="K69" s="71"/>
      <x:c r="L69" s="72"/>
      <x:c r="M69" s="72"/>
      <x:c r="N69" s="72"/>
      <x:c r="O69" s="71"/>
      <x:c r="P69" s="71"/>
      <x:c r="Q69" s="73"/>
      <x:c r="R69" s="72"/>
      <x:c r="S69" s="72"/>
      <x:c r="T69" s="73"/>
      <x:c r="U69" s="72"/>
      <x:c r="V69" s="72"/>
      <x:c r="W69" s="72"/>
    </x:row>
    <x:row r="70">
      <x:c r="A70" s="72"/>
      <x:c r="B70" s="72"/>
      <x:c r="C70" s="72"/>
      <x:c r="D70" s="72"/>
      <x:c r="E70" s="72"/>
      <x:c r="F70" s="72"/>
      <x:c r="G70" s="73"/>
      <x:c r="H70" s="71"/>
      <x:c r="I70" s="71"/>
      <x:c r="J70" s="72"/>
      <x:c r="K70" s="71"/>
      <x:c r="L70" s="72"/>
      <x:c r="M70" s="72"/>
      <x:c r="N70" s="72"/>
      <x:c r="O70" s="71"/>
      <x:c r="P70" s="71"/>
      <x:c r="Q70" s="73"/>
      <x:c r="R70" s="72"/>
      <x:c r="S70" s="72"/>
      <x:c r="T70" s="73"/>
      <x:c r="U70" s="72"/>
      <x:c r="V70" s="72"/>
      <x:c r="W70" s="72"/>
    </x:row>
    <x:row r="71">
      <x:c r="A71" s="72"/>
      <x:c r="B71" s="72"/>
      <x:c r="C71" s="72"/>
      <x:c r="D71" s="72"/>
      <x:c r="E71" s="72"/>
      <x:c r="F71" s="72"/>
      <x:c r="G71" s="73"/>
      <x:c r="H71" s="71"/>
      <x:c r="I71" s="71"/>
      <x:c r="J71" s="72"/>
      <x:c r="K71" s="71"/>
      <x:c r="L71" s="72"/>
      <x:c r="M71" s="72"/>
      <x:c r="N71" s="72"/>
      <x:c r="O71" s="71"/>
      <x:c r="P71" s="71"/>
      <x:c r="Q71" s="73"/>
      <x:c r="R71" s="72"/>
      <x:c r="S71" s="72"/>
      <x:c r="T71" s="73"/>
      <x:c r="U71" s="72"/>
      <x:c r="V71" s="72"/>
      <x:c r="W71" s="72"/>
    </x:row>
    <x:row r="72">
      <x:c r="A72" s="72"/>
      <x:c r="B72" s="72"/>
      <x:c r="C72" s="72"/>
      <x:c r="D72" s="72"/>
      <x:c r="E72" s="72"/>
      <x:c r="F72" s="72"/>
      <x:c r="G72" s="73"/>
      <x:c r="H72" s="71"/>
      <x:c r="I72" s="71"/>
      <x:c r="J72" s="72"/>
      <x:c r="K72" s="71"/>
      <x:c r="L72" s="72"/>
      <x:c r="M72" s="72"/>
      <x:c r="N72" s="72"/>
      <x:c r="O72" s="71"/>
      <x:c r="P72" s="71"/>
      <x:c r="Q72" s="73"/>
      <x:c r="R72" s="72"/>
      <x:c r="S72" s="72"/>
      <x:c r="T72" s="73"/>
      <x:c r="U72" s="72"/>
      <x:c r="V72" s="72"/>
      <x:c r="W72" s="72"/>
    </x:row>
    <x:row r="73">
      <x:c r="A73" s="72"/>
      <x:c r="B73" s="72"/>
      <x:c r="C73" s="72"/>
      <x:c r="D73" s="72"/>
      <x:c r="E73" s="72"/>
      <x:c r="F73" s="72"/>
      <x:c r="G73" s="73"/>
      <x:c r="H73" s="71"/>
      <x:c r="I73" s="71"/>
      <x:c r="J73" s="72"/>
      <x:c r="K73" s="71"/>
      <x:c r="L73" s="72"/>
      <x:c r="M73" s="72"/>
      <x:c r="N73" s="72"/>
      <x:c r="O73" s="71"/>
      <x:c r="P73" s="71"/>
      <x:c r="Q73" s="73"/>
      <x:c r="R73" s="72"/>
      <x:c r="S73" s="72"/>
      <x:c r="T73" s="73"/>
      <x:c r="U73" s="72"/>
      <x:c r="V73" s="72"/>
      <x:c r="W73" s="72"/>
    </x:row>
    <x:row r="74">
      <x:c r="A74" s="72"/>
      <x:c r="B74" s="72"/>
      <x:c r="C74" s="72"/>
      <x:c r="D74" s="72"/>
      <x:c r="E74" s="72"/>
      <x:c r="F74" s="72"/>
      <x:c r="G74" s="73"/>
      <x:c r="H74" s="71"/>
      <x:c r="I74" s="71"/>
      <x:c r="J74" s="72"/>
      <x:c r="K74" s="71"/>
      <x:c r="L74" s="72"/>
      <x:c r="M74" s="72"/>
      <x:c r="N74" s="72"/>
      <x:c r="O74" s="71"/>
      <x:c r="P74" s="71"/>
      <x:c r="Q74" s="73"/>
      <x:c r="R74" s="72"/>
      <x:c r="S74" s="72"/>
      <x:c r="T74" s="73"/>
      <x:c r="U74" s="72"/>
      <x:c r="V74" s="72"/>
      <x:c r="W74" s="72"/>
    </x:row>
    <x:row r="75">
      <x:c r="A75" s="72"/>
      <x:c r="B75" s="72"/>
      <x:c r="C75" s="72"/>
      <x:c r="D75" s="72"/>
      <x:c r="E75" s="72"/>
      <x:c r="F75" s="72"/>
      <x:c r="G75" s="73"/>
      <x:c r="H75" s="71"/>
      <x:c r="I75" s="71"/>
      <x:c r="J75" s="72"/>
      <x:c r="K75" s="71"/>
      <x:c r="L75" s="72"/>
      <x:c r="M75" s="72"/>
      <x:c r="N75" s="72"/>
      <x:c r="O75" s="71"/>
      <x:c r="P75" s="71"/>
      <x:c r="Q75" s="73"/>
      <x:c r="R75" s="72"/>
      <x:c r="S75" s="72"/>
      <x:c r="T75" s="73"/>
      <x:c r="U75" s="72"/>
      <x:c r="V75" s="72"/>
      <x:c r="W75" s="72"/>
    </x:row>
    <x:row r="76">
      <x:c r="A76" s="72"/>
      <x:c r="B76" s="72"/>
      <x:c r="C76" s="72"/>
      <x:c r="D76" s="72"/>
      <x:c r="E76" s="72"/>
      <x:c r="F76" s="72"/>
      <x:c r="G76" s="73"/>
      <x:c r="H76" s="71"/>
      <x:c r="I76" s="71"/>
      <x:c r="J76" s="72"/>
      <x:c r="K76" s="71"/>
      <x:c r="L76" s="72"/>
      <x:c r="M76" s="72"/>
      <x:c r="N76" s="72"/>
      <x:c r="O76" s="71"/>
      <x:c r="P76" s="71"/>
      <x:c r="Q76" s="73"/>
      <x:c r="R76" s="72"/>
      <x:c r="S76" s="72"/>
      <x:c r="T76" s="73"/>
      <x:c r="U76" s="72"/>
      <x:c r="V76" s="72"/>
      <x:c r="W76" s="72"/>
    </x:row>
    <x:row r="77">
      <x:c r="A77" s="72"/>
      <x:c r="B77" s="72"/>
      <x:c r="C77" s="72"/>
      <x:c r="D77" s="72"/>
      <x:c r="E77" s="72"/>
      <x:c r="F77" s="72"/>
      <x:c r="G77" s="73"/>
      <x:c r="H77" s="71"/>
      <x:c r="I77" s="71"/>
      <x:c r="J77" s="72"/>
      <x:c r="K77" s="71"/>
      <x:c r="L77" s="72"/>
      <x:c r="M77" s="72"/>
      <x:c r="N77" s="72"/>
      <x:c r="O77" s="71"/>
      <x:c r="P77" s="71"/>
      <x:c r="Q77" s="73"/>
      <x:c r="R77" s="72"/>
      <x:c r="S77" s="72"/>
      <x:c r="T77" s="73"/>
      <x:c r="U77" s="72"/>
      <x:c r="V77" s="72"/>
      <x:c r="W77" s="72"/>
    </x:row>
    <x:row r="78">
      <x:c r="A78" s="72"/>
      <x:c r="B78" s="72"/>
      <x:c r="C78" s="72"/>
      <x:c r="D78" s="72"/>
      <x:c r="E78" s="72"/>
      <x:c r="F78" s="72"/>
      <x:c r="G78" s="73"/>
      <x:c r="H78" s="71"/>
      <x:c r="I78" s="71"/>
      <x:c r="J78" s="72"/>
      <x:c r="K78" s="71"/>
      <x:c r="L78" s="72"/>
      <x:c r="M78" s="72"/>
      <x:c r="N78" s="72"/>
      <x:c r="O78" s="71"/>
      <x:c r="P78" s="71"/>
      <x:c r="Q78" s="73"/>
      <x:c r="R78" s="72"/>
      <x:c r="S78" s="72"/>
      <x:c r="T78" s="73"/>
      <x:c r="U78" s="72"/>
      <x:c r="V78" s="72"/>
      <x:c r="W78" s="72"/>
    </x:row>
    <x:row r="79">
      <x:c r="A79" s="72"/>
      <x:c r="B79" s="72"/>
      <x:c r="C79" s="72"/>
      <x:c r="D79" s="72"/>
      <x:c r="E79" s="72"/>
      <x:c r="F79" s="72"/>
      <x:c r="G79" s="73"/>
      <x:c r="H79" s="71"/>
      <x:c r="I79" s="71"/>
      <x:c r="J79" s="72"/>
      <x:c r="K79" s="71"/>
      <x:c r="L79" s="72"/>
      <x:c r="M79" s="72"/>
      <x:c r="N79" s="72"/>
      <x:c r="O79" s="71"/>
      <x:c r="P79" s="71"/>
      <x:c r="Q79" s="73"/>
      <x:c r="R79" s="72"/>
      <x:c r="S79" s="72"/>
      <x:c r="T79" s="73"/>
      <x:c r="U79" s="72"/>
      <x:c r="V79" s="72"/>
      <x:c r="W79" s="72"/>
    </x:row>
    <x:row r="80">
      <x:c r="A80" s="72"/>
      <x:c r="B80" s="72"/>
      <x:c r="C80" s="72"/>
      <x:c r="D80" s="72"/>
      <x:c r="E80" s="72"/>
      <x:c r="F80" s="72"/>
      <x:c r="G80" s="73"/>
      <x:c r="H80" s="71"/>
      <x:c r="I80" s="71"/>
      <x:c r="J80" s="72"/>
      <x:c r="K80" s="71"/>
      <x:c r="L80" s="72"/>
      <x:c r="M80" s="72"/>
      <x:c r="N80" s="72"/>
      <x:c r="O80" s="71"/>
      <x:c r="P80" s="71"/>
      <x:c r="Q80" s="73"/>
      <x:c r="R80" s="72"/>
      <x:c r="S80" s="72"/>
      <x:c r="T80" s="73"/>
      <x:c r="U80" s="72"/>
      <x:c r="V80" s="72"/>
      <x:c r="W80" s="72"/>
    </x:row>
    <x:row r="81">
      <x:c r="A81" s="72"/>
      <x:c r="B81" s="72"/>
      <x:c r="C81" s="72"/>
      <x:c r="D81" s="72"/>
      <x:c r="E81" s="72"/>
      <x:c r="F81" s="72"/>
      <x:c r="G81" s="73"/>
      <x:c r="H81" s="71"/>
      <x:c r="I81" s="71"/>
      <x:c r="J81" s="72"/>
      <x:c r="K81" s="71"/>
      <x:c r="L81" s="72"/>
      <x:c r="M81" s="72"/>
      <x:c r="N81" s="72"/>
      <x:c r="O81" s="71"/>
      <x:c r="P81" s="71"/>
      <x:c r="Q81" s="73"/>
      <x:c r="R81" s="72"/>
      <x:c r="S81" s="72"/>
      <x:c r="T81" s="73"/>
      <x:c r="U81" s="72"/>
      <x:c r="V81" s="72"/>
      <x:c r="W81" s="72"/>
    </x:row>
    <x:row r="82">
      <x:c r="A82" s="72"/>
      <x:c r="B82" s="72"/>
      <x:c r="C82" s="72"/>
      <x:c r="D82" s="72"/>
      <x:c r="E82" s="72"/>
      <x:c r="F82" s="72"/>
      <x:c r="G82" s="73"/>
      <x:c r="H82" s="71"/>
      <x:c r="I82" s="71"/>
      <x:c r="J82" s="72"/>
      <x:c r="K82" s="71"/>
      <x:c r="L82" s="72"/>
      <x:c r="M82" s="72"/>
      <x:c r="N82" s="72"/>
      <x:c r="O82" s="71"/>
      <x:c r="P82" s="71"/>
      <x:c r="Q82" s="73"/>
      <x:c r="R82" s="72"/>
      <x:c r="S82" s="72"/>
      <x:c r="T82" s="73"/>
      <x:c r="U82" s="72"/>
      <x:c r="V82" s="72"/>
      <x:c r="W82" s="72"/>
    </x:row>
    <x:row r="83">
      <x:c r="A83" s="72"/>
      <x:c r="B83" s="72"/>
      <x:c r="C83" s="72"/>
      <x:c r="D83" s="72"/>
      <x:c r="E83" s="72"/>
      <x:c r="F83" s="72"/>
      <x:c r="G83" s="73"/>
      <x:c r="H83" s="71"/>
      <x:c r="I83" s="71"/>
      <x:c r="J83" s="72"/>
      <x:c r="K83" s="71"/>
      <x:c r="L83" s="72"/>
      <x:c r="M83" s="72"/>
      <x:c r="N83" s="72"/>
      <x:c r="O83" s="71"/>
      <x:c r="P83" s="71"/>
      <x:c r="Q83" s="73"/>
      <x:c r="R83" s="72"/>
      <x:c r="S83" s="72"/>
      <x:c r="T83" s="73"/>
      <x:c r="U83" s="72"/>
      <x:c r="V83" s="72"/>
      <x:c r="W83" s="72"/>
    </x:row>
    <x:row r="84">
      <x:c r="A84" s="72"/>
      <x:c r="B84" s="72"/>
      <x:c r="C84" s="72"/>
      <x:c r="D84" s="72"/>
      <x:c r="E84" s="72"/>
      <x:c r="F84" s="72"/>
      <x:c r="G84" s="73"/>
      <x:c r="H84" s="71"/>
      <x:c r="I84" s="71"/>
      <x:c r="J84" s="72"/>
      <x:c r="K84" s="71"/>
      <x:c r="L84" s="72"/>
      <x:c r="M84" s="72"/>
      <x:c r="N84" s="72"/>
      <x:c r="O84" s="71"/>
      <x:c r="P84" s="71"/>
      <x:c r="Q84" s="73"/>
      <x:c r="R84" s="72"/>
      <x:c r="S84" s="72"/>
      <x:c r="T84" s="73"/>
      <x:c r="U84" s="72"/>
      <x:c r="V84" s="72"/>
      <x:c r="W84" s="72"/>
    </x:row>
    <x:row r="85">
      <x:c r="A85" s="72"/>
      <x:c r="B85" s="72"/>
      <x:c r="C85" s="72"/>
      <x:c r="D85" s="72"/>
      <x:c r="E85" s="72"/>
      <x:c r="F85" s="72"/>
      <x:c r="G85" s="73"/>
      <x:c r="H85" s="71"/>
      <x:c r="I85" s="71"/>
      <x:c r="J85" s="72"/>
      <x:c r="K85" s="71"/>
      <x:c r="L85" s="72"/>
      <x:c r="M85" s="72"/>
      <x:c r="N85" s="72"/>
      <x:c r="O85" s="71"/>
      <x:c r="P85" s="71"/>
      <x:c r="Q85" s="73"/>
      <x:c r="R85" s="72"/>
      <x:c r="S85" s="72"/>
      <x:c r="T85" s="73"/>
      <x:c r="U85" s="72"/>
      <x:c r="V85" s="72"/>
      <x:c r="W85" s="72"/>
    </x:row>
    <x:row r="86">
      <x:c r="A86" s="72"/>
      <x:c r="B86" s="72"/>
      <x:c r="C86" s="72"/>
      <x:c r="D86" s="72"/>
      <x:c r="E86" s="72"/>
      <x:c r="F86" s="72"/>
      <x:c r="G86" s="73"/>
      <x:c r="H86" s="71"/>
      <x:c r="I86" s="71"/>
      <x:c r="J86" s="72"/>
      <x:c r="K86" s="71"/>
      <x:c r="L86" s="72"/>
      <x:c r="M86" s="72"/>
      <x:c r="N86" s="72"/>
      <x:c r="O86" s="71"/>
      <x:c r="P86" s="71"/>
      <x:c r="Q86" s="73"/>
      <x:c r="R86" s="72"/>
      <x:c r="S86" s="72"/>
      <x:c r="T86" s="73"/>
      <x:c r="U86" s="72"/>
      <x:c r="V86" s="72"/>
      <x:c r="W86" s="72"/>
    </x:row>
    <x:row r="87">
      <x:c r="A87" s="72"/>
      <x:c r="B87" s="72"/>
      <x:c r="C87" s="72"/>
      <x:c r="D87" s="72"/>
      <x:c r="E87" s="72"/>
      <x:c r="F87" s="72"/>
      <x:c r="G87" s="73"/>
      <x:c r="H87" s="71"/>
      <x:c r="I87" s="71"/>
      <x:c r="J87" s="72"/>
      <x:c r="K87" s="71"/>
      <x:c r="L87" s="72"/>
      <x:c r="M87" s="72"/>
      <x:c r="N87" s="72"/>
      <x:c r="O87" s="71"/>
      <x:c r="P87" s="71"/>
      <x:c r="Q87" s="73"/>
      <x:c r="R87" s="72"/>
      <x:c r="S87" s="72"/>
      <x:c r="T87" s="73"/>
      <x:c r="U87" s="72"/>
      <x:c r="V87" s="72"/>
      <x:c r="W87" s="72"/>
    </x:row>
    <x:row r="88">
      <x:c r="A88" s="72"/>
      <x:c r="B88" s="72"/>
      <x:c r="C88" s="72"/>
      <x:c r="D88" s="72"/>
      <x:c r="E88" s="72"/>
      <x:c r="F88" s="72"/>
      <x:c r="G88" s="73"/>
      <x:c r="H88" s="71"/>
      <x:c r="I88" s="71"/>
      <x:c r="J88" s="72"/>
      <x:c r="K88" s="71"/>
      <x:c r="L88" s="72"/>
      <x:c r="M88" s="72"/>
      <x:c r="N88" s="72"/>
      <x:c r="O88" s="71"/>
      <x:c r="P88" s="71"/>
      <x:c r="Q88" s="73"/>
      <x:c r="R88" s="72"/>
      <x:c r="S88" s="72"/>
      <x:c r="T88" s="73"/>
      <x:c r="U88" s="72"/>
      <x:c r="V88" s="72"/>
      <x:c r="W88" s="72"/>
    </x:row>
    <x:row r="89">
      <x:c r="A89" s="72"/>
      <x:c r="B89" s="72"/>
      <x:c r="C89" s="72"/>
      <x:c r="D89" s="72"/>
      <x:c r="E89" s="72"/>
      <x:c r="F89" s="72"/>
      <x:c r="G89" s="73"/>
      <x:c r="H89" s="71"/>
      <x:c r="I89" s="71"/>
      <x:c r="J89" s="72"/>
      <x:c r="K89" s="71"/>
      <x:c r="L89" s="72"/>
      <x:c r="M89" s="72"/>
      <x:c r="N89" s="72"/>
      <x:c r="O89" s="71"/>
      <x:c r="P89" s="71"/>
      <x:c r="Q89" s="73"/>
      <x:c r="R89" s="72"/>
      <x:c r="S89" s="72"/>
      <x:c r="T89" s="73"/>
      <x:c r="U89" s="72"/>
      <x:c r="V89" s="72"/>
      <x:c r="W89" s="72"/>
    </x:row>
    <x:row r="90">
      <x:c r="A90" s="72"/>
      <x:c r="B90" s="72"/>
      <x:c r="C90" s="72"/>
      <x:c r="D90" s="72"/>
      <x:c r="E90" s="72"/>
      <x:c r="F90" s="72"/>
      <x:c r="G90" s="73"/>
      <x:c r="H90" s="71"/>
      <x:c r="I90" s="71"/>
      <x:c r="J90" s="72"/>
      <x:c r="K90" s="71"/>
      <x:c r="L90" s="72"/>
      <x:c r="M90" s="72"/>
      <x:c r="N90" s="72"/>
      <x:c r="O90" s="71"/>
      <x:c r="P90" s="71"/>
      <x:c r="Q90" s="73"/>
      <x:c r="R90" s="72"/>
      <x:c r="S90" s="72"/>
      <x:c r="T90" s="73"/>
      <x:c r="U90" s="72"/>
      <x:c r="V90" s="72"/>
      <x:c r="W90" s="72"/>
    </x:row>
    <x:row r="91">
      <x:c r="A91" s="72"/>
      <x:c r="B91" s="72"/>
      <x:c r="C91" s="72"/>
      <x:c r="D91" s="72"/>
      <x:c r="E91" s="72"/>
      <x:c r="F91" s="72"/>
      <x:c r="G91" s="73"/>
      <x:c r="H91" s="71"/>
      <x:c r="I91" s="71"/>
      <x:c r="J91" s="72"/>
      <x:c r="K91" s="71"/>
      <x:c r="L91" s="72"/>
      <x:c r="M91" s="72"/>
      <x:c r="N91" s="72"/>
      <x:c r="O91" s="71"/>
      <x:c r="P91" s="71"/>
      <x:c r="Q91" s="73"/>
      <x:c r="R91" s="72"/>
      <x:c r="S91" s="72"/>
      <x:c r="T91" s="73"/>
      <x:c r="U91" s="72"/>
      <x:c r="V91" s="72"/>
      <x:c r="W91" s="72"/>
    </x:row>
    <x:row r="92">
      <x:c r="A92" s="72"/>
      <x:c r="B92" s="72"/>
      <x:c r="C92" s="72"/>
      <x:c r="D92" s="72"/>
      <x:c r="E92" s="72"/>
      <x:c r="F92" s="72"/>
      <x:c r="G92" s="73"/>
      <x:c r="H92" s="71"/>
      <x:c r="I92" s="71"/>
      <x:c r="J92" s="72"/>
      <x:c r="K92" s="71"/>
      <x:c r="L92" s="72"/>
      <x:c r="M92" s="72"/>
      <x:c r="N92" s="72"/>
      <x:c r="O92" s="71"/>
      <x:c r="P92" s="71"/>
      <x:c r="Q92" s="73"/>
      <x:c r="R92" s="72"/>
      <x:c r="S92" s="72"/>
      <x:c r="T92" s="73"/>
      <x:c r="U92" s="72"/>
      <x:c r="V92" s="72"/>
      <x:c r="W92" s="72"/>
    </x:row>
    <x:row r="93">
      <x:c r="A93" s="72"/>
      <x:c r="B93" s="72"/>
      <x:c r="C93" s="72"/>
      <x:c r="D93" s="72"/>
      <x:c r="E93" s="72"/>
      <x:c r="F93" s="72"/>
      <x:c r="G93" s="73"/>
      <x:c r="H93" s="71"/>
      <x:c r="I93" s="71"/>
      <x:c r="J93" s="72"/>
      <x:c r="K93" s="71"/>
      <x:c r="L93" s="72"/>
      <x:c r="M93" s="72"/>
      <x:c r="N93" s="72"/>
      <x:c r="O93" s="71"/>
      <x:c r="P93" s="71"/>
      <x:c r="Q93" s="73"/>
      <x:c r="R93" s="72"/>
      <x:c r="S93" s="72"/>
      <x:c r="T93" s="73"/>
      <x:c r="U93" s="72"/>
      <x:c r="V93" s="72"/>
      <x:c r="W93" s="72"/>
    </x:row>
    <x:row r="94">
      <x:c r="A94" s="72"/>
      <x:c r="B94" s="72"/>
      <x:c r="C94" s="72"/>
      <x:c r="D94" s="72"/>
      <x:c r="E94" s="72"/>
      <x:c r="F94" s="72"/>
      <x:c r="G94" s="73"/>
      <x:c r="H94" s="71"/>
      <x:c r="I94" s="71"/>
      <x:c r="J94" s="72"/>
      <x:c r="K94" s="71"/>
      <x:c r="L94" s="72"/>
      <x:c r="M94" s="72"/>
      <x:c r="N94" s="72"/>
      <x:c r="O94" s="71"/>
      <x:c r="P94" s="71"/>
      <x:c r="Q94" s="73"/>
      <x:c r="R94" s="72"/>
      <x:c r="S94" s="72"/>
      <x:c r="T94" s="73"/>
      <x:c r="U94" s="72"/>
      <x:c r="V94" s="72"/>
      <x:c r="W94" s="72"/>
    </x:row>
    <x:row r="95">
      <x:c r="A95" s="72"/>
      <x:c r="B95" s="72"/>
      <x:c r="C95" s="72"/>
      <x:c r="D95" s="72"/>
      <x:c r="E95" s="72"/>
      <x:c r="F95" s="72"/>
      <x:c r="G95" s="73"/>
      <x:c r="H95" s="71"/>
      <x:c r="I95" s="71"/>
      <x:c r="J95" s="72"/>
      <x:c r="K95" s="71"/>
      <x:c r="L95" s="72"/>
      <x:c r="M95" s="72"/>
      <x:c r="N95" s="72"/>
      <x:c r="O95" s="71"/>
      <x:c r="P95" s="71"/>
      <x:c r="Q95" s="73"/>
      <x:c r="R95" s="72"/>
      <x:c r="S95" s="72"/>
      <x:c r="T95" s="73"/>
      <x:c r="U95" s="72"/>
      <x:c r="V95" s="72"/>
      <x:c r="W95" s="72"/>
    </x:row>
    <x:row r="96">
      <x:c r="A96" s="72"/>
      <x:c r="B96" s="72"/>
      <x:c r="C96" s="72"/>
      <x:c r="D96" s="72"/>
      <x:c r="E96" s="72"/>
      <x:c r="F96" s="72"/>
      <x:c r="G96" s="73"/>
      <x:c r="H96" s="71"/>
      <x:c r="I96" s="71"/>
      <x:c r="J96" s="72"/>
      <x:c r="K96" s="71"/>
      <x:c r="L96" s="72"/>
      <x:c r="M96" s="72"/>
      <x:c r="N96" s="72"/>
      <x:c r="O96" s="71"/>
      <x:c r="P96" s="71"/>
      <x:c r="Q96" s="73"/>
      <x:c r="R96" s="72"/>
      <x:c r="S96" s="72"/>
      <x:c r="T96" s="73"/>
      <x:c r="U96" s="72"/>
      <x:c r="V96" s="72"/>
      <x:c r="W96" s="72"/>
    </x:row>
    <x:row r="97">
      <x:c r="A97" s="72"/>
      <x:c r="B97" s="72"/>
      <x:c r="C97" s="72"/>
      <x:c r="D97" s="72"/>
      <x:c r="E97" s="72"/>
      <x:c r="F97" s="72"/>
      <x:c r="G97" s="73"/>
      <x:c r="H97" s="71"/>
      <x:c r="I97" s="71"/>
      <x:c r="J97" s="72"/>
      <x:c r="K97" s="71"/>
      <x:c r="L97" s="72"/>
      <x:c r="M97" s="72"/>
      <x:c r="N97" s="72"/>
      <x:c r="O97" s="71"/>
      <x:c r="P97" s="71"/>
      <x:c r="Q97" s="73"/>
      <x:c r="R97" s="72"/>
      <x:c r="S97" s="72"/>
      <x:c r="T97" s="73"/>
      <x:c r="U97" s="72"/>
      <x:c r="V97" s="72"/>
      <x:c r="W97" s="72"/>
    </x:row>
    <x:row r="98">
      <x:c r="A98" s="72"/>
      <x:c r="B98" s="72"/>
      <x:c r="C98" s="72"/>
      <x:c r="D98" s="72"/>
      <x:c r="E98" s="72"/>
      <x:c r="F98" s="72"/>
      <x:c r="G98" s="73"/>
      <x:c r="H98" s="71"/>
      <x:c r="I98" s="71"/>
      <x:c r="J98" s="72"/>
      <x:c r="K98" s="71"/>
      <x:c r="L98" s="72"/>
      <x:c r="M98" s="72"/>
      <x:c r="N98" s="72"/>
      <x:c r="O98" s="71"/>
      <x:c r="P98" s="71"/>
      <x:c r="Q98" s="73"/>
      <x:c r="R98" s="72"/>
      <x:c r="S98" s="72"/>
      <x:c r="T98" s="73"/>
      <x:c r="U98" s="72"/>
      <x:c r="V98" s="72"/>
      <x:c r="W98" s="72"/>
    </x:row>
    <x:row r="99">
      <x:c r="A99" s="72"/>
      <x:c r="B99" s="72"/>
      <x:c r="C99" s="72"/>
      <x:c r="D99" s="72"/>
      <x:c r="E99" s="72"/>
      <x:c r="F99" s="72"/>
      <x:c r="G99" s="73"/>
      <x:c r="H99" s="71"/>
      <x:c r="I99" s="71"/>
      <x:c r="J99" s="72"/>
      <x:c r="K99" s="71"/>
      <x:c r="L99" s="72"/>
      <x:c r="M99" s="72"/>
      <x:c r="N99" s="72"/>
      <x:c r="O99" s="71"/>
      <x:c r="P99" s="71"/>
      <x:c r="Q99" s="73"/>
      <x:c r="R99" s="72"/>
      <x:c r="S99" s="72"/>
      <x:c r="T99" s="73"/>
      <x:c r="U99" s="72"/>
      <x:c r="V99" s="72"/>
      <x:c r="W99" s="72"/>
    </x:row>
    <x:row r="100">
      <x:c r="A100" s="72"/>
      <x:c r="B100" s="72"/>
      <x:c r="C100" s="72"/>
      <x:c r="D100" s="72"/>
      <x:c r="E100" s="72"/>
      <x:c r="F100" s="72"/>
      <x:c r="G100" s="73"/>
      <x:c r="H100" s="71"/>
      <x:c r="I100" s="71"/>
      <x:c r="J100" s="72"/>
      <x:c r="K100" s="71"/>
      <x:c r="L100" s="72"/>
      <x:c r="M100" s="72"/>
      <x:c r="N100" s="72"/>
      <x:c r="O100" s="71"/>
      <x:c r="P100" s="71"/>
      <x:c r="Q100" s="73"/>
      <x:c r="R100" s="72"/>
      <x:c r="S100" s="72"/>
      <x:c r="T100" s="73"/>
      <x:c r="U100" s="72"/>
      <x:c r="V100" s="72"/>
      <x:c r="W100" s="72"/>
    </x:row>
    <x:row r="101">
      <x:c r="A101" s="72"/>
      <x:c r="B101" s="72"/>
      <x:c r="C101" s="72"/>
      <x:c r="D101" s="72"/>
      <x:c r="E101" s="72"/>
      <x:c r="F101" s="72"/>
      <x:c r="G101" s="73"/>
      <x:c r="H101" s="71"/>
      <x:c r="I101" s="71"/>
      <x:c r="J101" s="72"/>
      <x:c r="K101" s="71"/>
      <x:c r="L101" s="72"/>
      <x:c r="M101" s="72"/>
      <x:c r="N101" s="72"/>
      <x:c r="O101" s="71"/>
      <x:c r="P101" s="71"/>
      <x:c r="Q101" s="73"/>
      <x:c r="R101" s="72"/>
      <x:c r="S101" s="72"/>
      <x:c r="T101" s="73"/>
      <x:c r="U101" s="72"/>
      <x:c r="V101" s="72"/>
      <x:c r="W101" s="72"/>
    </x:row>
    <x:row r="102">
      <x:c r="A102" s="72"/>
      <x:c r="B102" s="72"/>
      <x:c r="C102" s="72"/>
      <x:c r="D102" s="72"/>
      <x:c r="E102" s="72"/>
      <x:c r="F102" s="72"/>
      <x:c r="G102" s="73"/>
      <x:c r="H102" s="71"/>
      <x:c r="I102" s="71"/>
      <x:c r="J102" s="72"/>
      <x:c r="K102" s="71"/>
      <x:c r="L102" s="72"/>
      <x:c r="M102" s="72"/>
      <x:c r="N102" s="72"/>
      <x:c r="O102" s="71"/>
      <x:c r="P102" s="71"/>
      <x:c r="Q102" s="73"/>
      <x:c r="R102" s="72"/>
      <x:c r="S102" s="72"/>
      <x:c r="T102" s="73"/>
      <x:c r="U102" s="72"/>
      <x:c r="V102" s="72"/>
      <x:c r="W102" s="72"/>
    </x:row>
    <x:row r="103">
      <x:c r="A103" s="72"/>
      <x:c r="B103" s="72"/>
      <x:c r="C103" s="72"/>
      <x:c r="D103" s="72"/>
      <x:c r="E103" s="72"/>
      <x:c r="F103" s="72"/>
      <x:c r="G103" s="73"/>
      <x:c r="H103" s="71"/>
      <x:c r="I103" s="71"/>
      <x:c r="J103" s="72"/>
      <x:c r="K103" s="71"/>
      <x:c r="L103" s="72"/>
      <x:c r="M103" s="72"/>
      <x:c r="N103" s="72"/>
      <x:c r="O103" s="71"/>
      <x:c r="P103" s="71"/>
      <x:c r="Q103" s="73"/>
      <x:c r="R103" s="72"/>
      <x:c r="S103" s="72"/>
      <x:c r="T103" s="73"/>
      <x:c r="U103" s="72"/>
      <x:c r="V103" s="72"/>
      <x:c r="W103" s="72"/>
    </x:row>
    <x:row r="104">
      <x:c r="A104" s="72"/>
      <x:c r="B104" s="72"/>
      <x:c r="C104" s="72"/>
      <x:c r="D104" s="72"/>
      <x:c r="E104" s="72"/>
      <x:c r="F104" s="72"/>
      <x:c r="G104" s="73"/>
      <x:c r="H104" s="71"/>
      <x:c r="I104" s="71"/>
      <x:c r="J104" s="72"/>
      <x:c r="K104" s="71"/>
      <x:c r="L104" s="72"/>
      <x:c r="M104" s="72"/>
      <x:c r="N104" s="72"/>
      <x:c r="O104" s="71"/>
      <x:c r="P104" s="71"/>
      <x:c r="Q104" s="73"/>
      <x:c r="R104" s="72"/>
      <x:c r="S104" s="72"/>
      <x:c r="T104" s="73"/>
      <x:c r="U104" s="72"/>
      <x:c r="V104" s="72"/>
      <x:c r="W104" s="72"/>
    </x:row>
    <x:row r="105">
      <x:c r="A105" s="72"/>
      <x:c r="B105" s="72"/>
      <x:c r="C105" s="72"/>
      <x:c r="D105" s="72"/>
      <x:c r="E105" s="72"/>
      <x:c r="F105" s="72"/>
      <x:c r="G105" s="73"/>
      <x:c r="H105" s="71"/>
      <x:c r="I105" s="71"/>
      <x:c r="J105" s="72"/>
      <x:c r="K105" s="71"/>
      <x:c r="L105" s="72"/>
      <x:c r="M105" s="72"/>
      <x:c r="N105" s="72"/>
      <x:c r="O105" s="71"/>
      <x:c r="P105" s="71"/>
      <x:c r="Q105" s="73"/>
      <x:c r="R105" s="72"/>
      <x:c r="S105" s="72"/>
      <x:c r="T105" s="73"/>
      <x:c r="U105" s="72"/>
      <x:c r="V105" s="72"/>
      <x:c r="W105" s="72"/>
    </x:row>
    <x:row r="106">
      <x:c r="A106" s="72"/>
      <x:c r="B106" s="72"/>
      <x:c r="C106" s="72"/>
      <x:c r="D106" s="72"/>
      <x:c r="E106" s="72"/>
      <x:c r="F106" s="72"/>
      <x:c r="G106" s="73"/>
      <x:c r="H106" s="71"/>
      <x:c r="I106" s="71"/>
      <x:c r="J106" s="72"/>
      <x:c r="K106" s="71"/>
      <x:c r="L106" s="72"/>
      <x:c r="M106" s="72"/>
      <x:c r="N106" s="72"/>
      <x:c r="O106" s="71"/>
      <x:c r="P106" s="71"/>
      <x:c r="Q106" s="73"/>
      <x:c r="R106" s="72"/>
      <x:c r="S106" s="72"/>
      <x:c r="T106" s="73"/>
      <x:c r="U106" s="72"/>
      <x:c r="V106" s="72"/>
      <x:c r="W106" s="72"/>
    </x:row>
    <x:row r="107">
      <x:c r="A107" s="72"/>
      <x:c r="B107" s="72"/>
      <x:c r="C107" s="72"/>
      <x:c r="D107" s="72"/>
      <x:c r="E107" s="72"/>
      <x:c r="F107" s="72"/>
      <x:c r="G107" s="73"/>
      <x:c r="H107" s="71"/>
      <x:c r="I107" s="71"/>
      <x:c r="J107" s="72"/>
      <x:c r="K107" s="71"/>
      <x:c r="L107" s="72"/>
      <x:c r="M107" s="72"/>
      <x:c r="N107" s="72"/>
      <x:c r="O107" s="71"/>
      <x:c r="P107" s="71"/>
      <x:c r="Q107" s="73"/>
      <x:c r="R107" s="72"/>
      <x:c r="S107" s="72"/>
      <x:c r="T107" s="73"/>
      <x:c r="U107" s="72"/>
      <x:c r="V107" s="72"/>
      <x:c r="W107" s="72"/>
    </x:row>
    <x:row r="108">
      <x:c r="A108" s="72"/>
      <x:c r="B108" s="72"/>
      <x:c r="C108" s="72"/>
      <x:c r="D108" s="72"/>
      <x:c r="E108" s="72"/>
      <x:c r="F108" s="72"/>
      <x:c r="G108" s="73"/>
      <x:c r="H108" s="71"/>
      <x:c r="I108" s="71"/>
      <x:c r="J108" s="72"/>
      <x:c r="K108" s="71"/>
      <x:c r="L108" s="72"/>
      <x:c r="M108" s="72"/>
      <x:c r="N108" s="72"/>
      <x:c r="O108" s="71"/>
      <x:c r="P108" s="71"/>
      <x:c r="Q108" s="73"/>
      <x:c r="R108" s="72"/>
      <x:c r="S108" s="72"/>
      <x:c r="T108" s="73"/>
      <x:c r="U108" s="72"/>
      <x:c r="V108" s="72"/>
      <x:c r="W108" s="72"/>
    </x:row>
    <x:row r="109">
      <x:c r="A109" s="72"/>
      <x:c r="B109" s="72"/>
      <x:c r="C109" s="72"/>
      <x:c r="D109" s="72"/>
      <x:c r="E109" s="72"/>
      <x:c r="F109" s="72"/>
      <x:c r="G109" s="73"/>
      <x:c r="H109" s="71"/>
      <x:c r="I109" s="71"/>
      <x:c r="J109" s="72"/>
      <x:c r="K109" s="71"/>
      <x:c r="L109" s="72"/>
      <x:c r="M109" s="72"/>
      <x:c r="N109" s="72"/>
      <x:c r="O109" s="71"/>
      <x:c r="P109" s="71"/>
      <x:c r="Q109" s="73"/>
      <x:c r="R109" s="72"/>
      <x:c r="S109" s="72"/>
      <x:c r="T109" s="73"/>
      <x:c r="U109" s="72"/>
      <x:c r="V109" s="72"/>
      <x:c r="W109" s="72"/>
    </x:row>
    <x:row r="110">
      <x:c r="A110" s="72"/>
      <x:c r="B110" s="72"/>
      <x:c r="C110" s="72"/>
      <x:c r="D110" s="72"/>
      <x:c r="E110" s="72"/>
      <x:c r="F110" s="72"/>
      <x:c r="G110" s="73"/>
      <x:c r="H110" s="71"/>
      <x:c r="I110" s="71"/>
      <x:c r="J110" s="72"/>
      <x:c r="K110" s="71"/>
      <x:c r="L110" s="72"/>
      <x:c r="M110" s="72"/>
      <x:c r="N110" s="72"/>
      <x:c r="O110" s="71"/>
      <x:c r="P110" s="71"/>
      <x:c r="Q110" s="73"/>
      <x:c r="R110" s="72"/>
      <x:c r="S110" s="72"/>
      <x:c r="T110" s="73"/>
      <x:c r="U110" s="72"/>
      <x:c r="V110" s="72"/>
      <x:c r="W110" s="72"/>
    </x:row>
    <x:row r="111">
      <x:c r="A111" s="72"/>
      <x:c r="B111" s="72"/>
      <x:c r="C111" s="72"/>
      <x:c r="D111" s="72"/>
      <x:c r="E111" s="72"/>
      <x:c r="F111" s="72"/>
      <x:c r="G111" s="73"/>
      <x:c r="H111" s="71"/>
      <x:c r="I111" s="71"/>
      <x:c r="J111" s="72"/>
      <x:c r="K111" s="71"/>
      <x:c r="L111" s="72"/>
      <x:c r="M111" s="72"/>
      <x:c r="N111" s="72"/>
      <x:c r="O111" s="71"/>
      <x:c r="P111" s="71"/>
      <x:c r="Q111" s="73"/>
      <x:c r="R111" s="72"/>
      <x:c r="S111" s="72"/>
      <x:c r="T111" s="73"/>
      <x:c r="U111" s="72"/>
      <x:c r="V111" s="72"/>
      <x:c r="W111" s="72"/>
    </x:row>
    <x:row r="112">
      <x:c r="A112" s="72"/>
      <x:c r="B112" s="72"/>
      <x:c r="C112" s="72"/>
      <x:c r="D112" s="72"/>
      <x:c r="E112" s="72"/>
      <x:c r="F112" s="72"/>
      <x:c r="G112" s="73"/>
      <x:c r="H112" s="71"/>
      <x:c r="I112" s="71"/>
      <x:c r="J112" s="72"/>
      <x:c r="K112" s="71"/>
      <x:c r="L112" s="72"/>
      <x:c r="M112" s="72"/>
      <x:c r="N112" s="72"/>
      <x:c r="O112" s="71"/>
      <x:c r="P112" s="71"/>
      <x:c r="Q112" s="73"/>
      <x:c r="R112" s="72"/>
      <x:c r="S112" s="72"/>
      <x:c r="T112" s="73"/>
      <x:c r="U112" s="72"/>
      <x:c r="V112" s="72"/>
      <x:c r="W112" s="72"/>
    </x:row>
    <x:row r="113">
      <x:c r="A113" s="72"/>
      <x:c r="B113" s="72"/>
      <x:c r="C113" s="72"/>
      <x:c r="D113" s="72"/>
      <x:c r="E113" s="72"/>
      <x:c r="F113" s="72"/>
      <x:c r="G113" s="73"/>
      <x:c r="H113" s="71"/>
      <x:c r="I113" s="71"/>
      <x:c r="J113" s="72"/>
      <x:c r="K113" s="71"/>
      <x:c r="L113" s="72"/>
      <x:c r="M113" s="72"/>
      <x:c r="N113" s="72"/>
      <x:c r="O113" s="71"/>
      <x:c r="P113" s="71"/>
      <x:c r="Q113" s="73"/>
      <x:c r="R113" s="72"/>
      <x:c r="S113" s="72"/>
      <x:c r="T113" s="73"/>
      <x:c r="U113" s="72"/>
      <x:c r="V113" s="72"/>
      <x:c r="W113" s="72"/>
    </x:row>
    <x:row r="114">
      <x:c r="A114" s="72"/>
      <x:c r="B114" s="72"/>
      <x:c r="C114" s="72"/>
      <x:c r="D114" s="72"/>
      <x:c r="E114" s="72"/>
      <x:c r="F114" s="72"/>
      <x:c r="G114" s="73"/>
      <x:c r="H114" s="71"/>
      <x:c r="I114" s="71"/>
      <x:c r="J114" s="72"/>
      <x:c r="K114" s="71"/>
      <x:c r="L114" s="72"/>
      <x:c r="M114" s="72"/>
      <x:c r="N114" s="72"/>
      <x:c r="O114" s="71"/>
      <x:c r="P114" s="71"/>
      <x:c r="Q114" s="73"/>
      <x:c r="R114" s="72"/>
      <x:c r="S114" s="72"/>
      <x:c r="T114" s="73"/>
      <x:c r="U114" s="72"/>
      <x:c r="V114" s="72"/>
      <x:c r="W114" s="72"/>
    </x:row>
    <x:row r="115">
      <x:c r="A115" s="72"/>
      <x:c r="B115" s="72"/>
      <x:c r="C115" s="72"/>
      <x:c r="D115" s="72"/>
      <x:c r="E115" s="72"/>
      <x:c r="F115" s="72"/>
      <x:c r="G115" s="73"/>
      <x:c r="H115" s="71"/>
      <x:c r="I115" s="71"/>
      <x:c r="J115" s="72"/>
      <x:c r="K115" s="71"/>
      <x:c r="L115" s="72"/>
      <x:c r="M115" s="72"/>
      <x:c r="N115" s="72"/>
      <x:c r="O115" s="71"/>
      <x:c r="P115" s="71"/>
      <x:c r="Q115" s="73"/>
      <x:c r="R115" s="72"/>
      <x:c r="S115" s="72"/>
      <x:c r="T115" s="73"/>
      <x:c r="U115" s="72"/>
      <x:c r="V115" s="72"/>
      <x:c r="W115" s="72"/>
    </x:row>
    <x:row r="116">
      <x:c r="A116" s="72"/>
      <x:c r="B116" s="72"/>
      <x:c r="C116" s="72"/>
      <x:c r="D116" s="72"/>
      <x:c r="E116" s="72"/>
      <x:c r="F116" s="72"/>
      <x:c r="G116" s="73"/>
      <x:c r="H116" s="71"/>
      <x:c r="I116" s="71"/>
      <x:c r="J116" s="72"/>
      <x:c r="K116" s="71"/>
      <x:c r="L116" s="72"/>
      <x:c r="M116" s="72"/>
      <x:c r="N116" s="72"/>
      <x:c r="O116" s="71"/>
      <x:c r="P116" s="71"/>
      <x:c r="Q116" s="73"/>
      <x:c r="R116" s="72"/>
      <x:c r="S116" s="72"/>
      <x:c r="T116" s="73"/>
      <x:c r="U116" s="72"/>
      <x:c r="V116" s="72"/>
      <x:c r="W116" s="72"/>
    </x:row>
    <x:row r="117">
      <x:c r="A117" s="72"/>
      <x:c r="B117" s="72"/>
      <x:c r="C117" s="72"/>
      <x:c r="D117" s="72"/>
      <x:c r="E117" s="72"/>
      <x:c r="F117" s="72"/>
      <x:c r="G117" s="73"/>
      <x:c r="H117" s="71"/>
      <x:c r="I117" s="71"/>
      <x:c r="J117" s="72"/>
      <x:c r="K117" s="71"/>
      <x:c r="L117" s="72"/>
      <x:c r="M117" s="72"/>
      <x:c r="N117" s="72"/>
      <x:c r="O117" s="71"/>
      <x:c r="P117" s="71"/>
      <x:c r="Q117" s="73"/>
      <x:c r="R117" s="72"/>
      <x:c r="S117" s="72"/>
      <x:c r="T117" s="73"/>
      <x:c r="U117" s="72"/>
      <x:c r="V117" s="72"/>
      <x:c r="W117" s="72"/>
    </x:row>
    <x:row r="118">
      <x:c r="A118" s="72"/>
      <x:c r="B118" s="72"/>
      <x:c r="C118" s="72"/>
      <x:c r="D118" s="72"/>
      <x:c r="E118" s="72"/>
      <x:c r="F118" s="72"/>
      <x:c r="G118" s="73"/>
      <x:c r="H118" s="71"/>
      <x:c r="I118" s="71"/>
      <x:c r="J118" s="72"/>
      <x:c r="K118" s="71"/>
      <x:c r="L118" s="72"/>
      <x:c r="M118" s="72"/>
      <x:c r="N118" s="72"/>
      <x:c r="O118" s="71"/>
      <x:c r="P118" s="71"/>
      <x:c r="Q118" s="73"/>
      <x:c r="R118" s="72"/>
      <x:c r="S118" s="72"/>
      <x:c r="T118" s="73"/>
      <x:c r="U118" s="72"/>
      <x:c r="V118" s="72"/>
      <x:c r="W118" s="72"/>
    </x:row>
    <x:row r="119">
      <x:c r="A119" s="72"/>
      <x:c r="B119" s="72"/>
      <x:c r="C119" s="72"/>
      <x:c r="D119" s="72"/>
      <x:c r="E119" s="72"/>
      <x:c r="F119" s="72"/>
      <x:c r="G119" s="73"/>
      <x:c r="H119" s="71"/>
      <x:c r="I119" s="71"/>
      <x:c r="J119" s="72"/>
      <x:c r="K119" s="71"/>
      <x:c r="L119" s="72"/>
      <x:c r="M119" s="72"/>
      <x:c r="N119" s="72"/>
      <x:c r="O119" s="71"/>
      <x:c r="P119" s="71"/>
      <x:c r="Q119" s="73"/>
      <x:c r="R119" s="72"/>
      <x:c r="S119" s="72"/>
      <x:c r="T119" s="73"/>
      <x:c r="U119" s="72"/>
      <x:c r="V119" s="72"/>
      <x:c r="W119" s="72"/>
    </x:row>
    <x:row r="120">
      <x:c r="A120" s="72"/>
      <x:c r="B120" s="72"/>
      <x:c r="C120" s="72"/>
      <x:c r="D120" s="72"/>
      <x:c r="E120" s="72"/>
      <x:c r="F120" s="72"/>
      <x:c r="G120" s="73"/>
      <x:c r="H120" s="71"/>
      <x:c r="I120" s="71"/>
      <x:c r="J120" s="72"/>
      <x:c r="K120" s="71"/>
      <x:c r="L120" s="72"/>
      <x:c r="M120" s="72"/>
      <x:c r="N120" s="72"/>
      <x:c r="O120" s="71"/>
      <x:c r="P120" s="71"/>
      <x:c r="Q120" s="73"/>
      <x:c r="R120" s="72"/>
      <x:c r="S120" s="72"/>
      <x:c r="T120" s="73"/>
      <x:c r="U120" s="72"/>
      <x:c r="V120" s="72"/>
      <x:c r="W120" s="72"/>
    </x:row>
    <x:row r="121">
      <x:c r="A121" s="72"/>
      <x:c r="B121" s="72"/>
      <x:c r="C121" s="72"/>
      <x:c r="D121" s="72"/>
      <x:c r="E121" s="72"/>
      <x:c r="F121" s="72"/>
      <x:c r="G121" s="73"/>
      <x:c r="H121" s="71"/>
      <x:c r="I121" s="71"/>
      <x:c r="J121" s="72"/>
      <x:c r="K121" s="71"/>
      <x:c r="L121" s="72"/>
      <x:c r="M121" s="72"/>
      <x:c r="N121" s="72"/>
      <x:c r="O121" s="71"/>
      <x:c r="P121" s="71"/>
      <x:c r="Q121" s="73"/>
      <x:c r="R121" s="72"/>
      <x:c r="S121" s="72"/>
      <x:c r="T121" s="73"/>
      <x:c r="U121" s="72"/>
      <x:c r="V121" s="72"/>
      <x:c r="W121" s="72"/>
    </x:row>
    <x:row r="122">
      <x:c r="A122" s="72"/>
      <x:c r="B122" s="72"/>
      <x:c r="C122" s="72"/>
      <x:c r="D122" s="72"/>
      <x:c r="E122" s="72"/>
      <x:c r="F122" s="72"/>
      <x:c r="G122" s="73"/>
      <x:c r="H122" s="71"/>
      <x:c r="I122" s="71"/>
      <x:c r="J122" s="72"/>
      <x:c r="K122" s="71"/>
      <x:c r="L122" s="72"/>
      <x:c r="M122" s="72"/>
      <x:c r="N122" s="72"/>
      <x:c r="O122" s="71"/>
      <x:c r="P122" s="71"/>
      <x:c r="Q122" s="73"/>
      <x:c r="R122" s="72"/>
      <x:c r="S122" s="72"/>
      <x:c r="T122" s="73"/>
      <x:c r="U122" s="72"/>
      <x:c r="V122" s="72"/>
      <x:c r="W122" s="72"/>
    </x:row>
    <x:row r="123">
      <x:c r="A123" s="72"/>
      <x:c r="B123" s="72"/>
      <x:c r="C123" s="72"/>
      <x:c r="D123" s="72"/>
      <x:c r="E123" s="72"/>
      <x:c r="F123" s="72"/>
      <x:c r="G123" s="73"/>
      <x:c r="H123" s="71"/>
      <x:c r="I123" s="71"/>
      <x:c r="J123" s="72"/>
      <x:c r="K123" s="71"/>
      <x:c r="L123" s="72"/>
      <x:c r="M123" s="72"/>
      <x:c r="N123" s="72"/>
      <x:c r="O123" s="71"/>
      <x:c r="P123" s="71"/>
      <x:c r="Q123" s="73"/>
      <x:c r="R123" s="72"/>
      <x:c r="S123" s="72"/>
      <x:c r="T123" s="73"/>
      <x:c r="U123" s="72"/>
      <x:c r="V123" s="72"/>
      <x:c r="W123" s="72"/>
    </x:row>
    <x:row r="124">
      <x:c r="A124" s="72"/>
      <x:c r="B124" s="72"/>
      <x:c r="C124" s="72"/>
      <x:c r="D124" s="72"/>
      <x:c r="E124" s="72"/>
      <x:c r="F124" s="72"/>
      <x:c r="G124" s="73"/>
      <x:c r="H124" s="71"/>
      <x:c r="I124" s="71"/>
      <x:c r="J124" s="72"/>
      <x:c r="K124" s="71"/>
      <x:c r="L124" s="72"/>
      <x:c r="M124" s="72"/>
      <x:c r="N124" s="72"/>
      <x:c r="O124" s="71"/>
      <x:c r="P124" s="71"/>
      <x:c r="Q124" s="73"/>
      <x:c r="R124" s="72"/>
      <x:c r="S124" s="72"/>
      <x:c r="T124" s="73"/>
      <x:c r="U124" s="72"/>
      <x:c r="V124" s="72"/>
      <x:c r="W124" s="72"/>
    </x:row>
    <x:row r="125">
      <x:c r="A125" s="72"/>
      <x:c r="B125" s="72"/>
      <x:c r="C125" s="72"/>
      <x:c r="D125" s="72"/>
      <x:c r="E125" s="72"/>
      <x:c r="F125" s="72"/>
      <x:c r="G125" s="73"/>
      <x:c r="H125" s="71"/>
      <x:c r="I125" s="71"/>
      <x:c r="J125" s="72"/>
      <x:c r="K125" s="71"/>
      <x:c r="L125" s="72"/>
      <x:c r="M125" s="72"/>
      <x:c r="N125" s="72"/>
      <x:c r="O125" s="71"/>
      <x:c r="P125" s="71"/>
      <x:c r="Q125" s="73"/>
      <x:c r="R125" s="72"/>
      <x:c r="S125" s="72"/>
      <x:c r="T125" s="73"/>
      <x:c r="U125" s="72"/>
      <x:c r="V125" s="72"/>
      <x:c r="W125" s="72"/>
    </x:row>
    <x:row r="126">
      <x:c r="A126" s="72"/>
      <x:c r="B126" s="72"/>
      <x:c r="C126" s="72"/>
      <x:c r="D126" s="72"/>
      <x:c r="E126" s="72"/>
      <x:c r="F126" s="72"/>
      <x:c r="G126" s="73"/>
      <x:c r="H126" s="71"/>
      <x:c r="I126" s="71"/>
      <x:c r="J126" s="72"/>
      <x:c r="K126" s="71"/>
      <x:c r="L126" s="72"/>
      <x:c r="M126" s="72"/>
      <x:c r="N126" s="72"/>
      <x:c r="O126" s="71"/>
      <x:c r="P126" s="71"/>
      <x:c r="Q126" s="73"/>
      <x:c r="R126" s="72"/>
      <x:c r="S126" s="72"/>
      <x:c r="T126" s="73"/>
      <x:c r="U126" s="72"/>
      <x:c r="V126" s="72"/>
      <x:c r="W126" s="72"/>
    </x:row>
    <x:row r="127">
      <x:c r="A127" s="72"/>
      <x:c r="B127" s="72"/>
      <x:c r="C127" s="72"/>
      <x:c r="D127" s="72"/>
      <x:c r="E127" s="72"/>
      <x:c r="F127" s="72"/>
      <x:c r="G127" s="73"/>
      <x:c r="H127" s="71"/>
      <x:c r="I127" s="71"/>
      <x:c r="J127" s="72"/>
      <x:c r="K127" s="71"/>
      <x:c r="L127" s="72"/>
      <x:c r="M127" s="72"/>
      <x:c r="N127" s="72"/>
      <x:c r="O127" s="71"/>
      <x:c r="P127" s="71"/>
      <x:c r="Q127" s="73"/>
      <x:c r="R127" s="72"/>
      <x:c r="S127" s="72"/>
      <x:c r="T127" s="73"/>
      <x:c r="U127" s="72"/>
      <x:c r="V127" s="72"/>
      <x:c r="W127" s="72"/>
    </x:row>
    <x:row r="128">
      <x:c r="A128" s="72"/>
      <x:c r="B128" s="72"/>
      <x:c r="C128" s="72"/>
      <x:c r="D128" s="72"/>
      <x:c r="E128" s="72"/>
      <x:c r="F128" s="72"/>
      <x:c r="G128" s="73"/>
      <x:c r="H128" s="71"/>
      <x:c r="I128" s="71"/>
      <x:c r="J128" s="72"/>
      <x:c r="K128" s="71"/>
      <x:c r="L128" s="72"/>
      <x:c r="M128" s="72"/>
      <x:c r="N128" s="72"/>
      <x:c r="O128" s="71"/>
      <x:c r="P128" s="71"/>
      <x:c r="Q128" s="73"/>
      <x:c r="R128" s="72"/>
      <x:c r="S128" s="72"/>
      <x:c r="T128" s="73"/>
      <x:c r="U128" s="72"/>
      <x:c r="V128" s="72"/>
      <x:c r="W128" s="72"/>
    </x:row>
    <x:row r="129">
      <x:c r="A129" s="72"/>
      <x:c r="B129" s="72"/>
      <x:c r="C129" s="72"/>
      <x:c r="D129" s="72"/>
      <x:c r="E129" s="72"/>
      <x:c r="F129" s="72"/>
      <x:c r="G129" s="73"/>
      <x:c r="H129" s="71"/>
      <x:c r="I129" s="71"/>
      <x:c r="J129" s="72"/>
      <x:c r="K129" s="71"/>
      <x:c r="L129" s="72"/>
      <x:c r="M129" s="72"/>
      <x:c r="N129" s="72"/>
      <x:c r="O129" s="71"/>
      <x:c r="P129" s="71"/>
      <x:c r="Q129" s="73"/>
      <x:c r="R129" s="72"/>
      <x:c r="S129" s="72"/>
      <x:c r="T129" s="73"/>
      <x:c r="U129" s="72"/>
      <x:c r="V129" s="72"/>
      <x:c r="W129" s="72"/>
    </x:row>
    <x:row r="130">
      <x:c r="A130" s="72"/>
      <x:c r="B130" s="72"/>
      <x:c r="C130" s="72"/>
      <x:c r="D130" s="72"/>
      <x:c r="E130" s="72"/>
      <x:c r="F130" s="72"/>
      <x:c r="G130" s="73"/>
      <x:c r="H130" s="71"/>
      <x:c r="I130" s="71"/>
      <x:c r="J130" s="72"/>
      <x:c r="K130" s="71"/>
      <x:c r="L130" s="72"/>
      <x:c r="M130" s="72"/>
      <x:c r="N130" s="72"/>
      <x:c r="O130" s="71"/>
      <x:c r="P130" s="71"/>
      <x:c r="Q130" s="73"/>
      <x:c r="R130" s="72"/>
      <x:c r="S130" s="72"/>
      <x:c r="T130" s="73"/>
      <x:c r="U130" s="72"/>
      <x:c r="V130" s="72"/>
      <x:c r="W130" s="72"/>
    </x:row>
    <x:row r="131">
      <x:c r="A131" s="72"/>
      <x:c r="B131" s="72"/>
      <x:c r="C131" s="72"/>
      <x:c r="D131" s="72"/>
      <x:c r="E131" s="72"/>
      <x:c r="F131" s="72"/>
      <x:c r="G131" s="73"/>
      <x:c r="H131" s="71"/>
      <x:c r="I131" s="71"/>
      <x:c r="J131" s="72"/>
      <x:c r="K131" s="71"/>
      <x:c r="L131" s="72"/>
      <x:c r="M131" s="72"/>
      <x:c r="N131" s="72"/>
      <x:c r="O131" s="71"/>
      <x:c r="P131" s="71"/>
      <x:c r="Q131" s="73"/>
      <x:c r="R131" s="72"/>
      <x:c r="S131" s="72"/>
      <x:c r="T131" s="73"/>
      <x:c r="U131" s="72"/>
      <x:c r="V131" s="72"/>
      <x:c r="W131" s="72"/>
    </x:row>
    <x:row r="132">
      <x:c r="A132" s="72"/>
      <x:c r="B132" s="72"/>
      <x:c r="C132" s="72"/>
      <x:c r="D132" s="72"/>
      <x:c r="E132" s="72"/>
      <x:c r="F132" s="72"/>
      <x:c r="G132" s="73"/>
      <x:c r="H132" s="71"/>
      <x:c r="I132" s="71"/>
      <x:c r="J132" s="72"/>
      <x:c r="K132" s="71"/>
      <x:c r="L132" s="72"/>
      <x:c r="M132" s="72"/>
      <x:c r="N132" s="72"/>
      <x:c r="O132" s="71"/>
      <x:c r="P132" s="71"/>
      <x:c r="Q132" s="73"/>
      <x:c r="R132" s="72"/>
      <x:c r="S132" s="72"/>
      <x:c r="T132" s="73"/>
      <x:c r="U132" s="72"/>
      <x:c r="V132" s="72"/>
      <x:c r="W132" s="72"/>
    </x:row>
    <x:row r="133">
      <x:c r="A133" s="72"/>
      <x:c r="B133" s="72"/>
      <x:c r="C133" s="72"/>
      <x:c r="D133" s="72"/>
      <x:c r="E133" s="72"/>
      <x:c r="F133" s="72"/>
      <x:c r="G133" s="73"/>
      <x:c r="H133" s="71"/>
      <x:c r="I133" s="71"/>
      <x:c r="J133" s="72"/>
      <x:c r="K133" s="71"/>
      <x:c r="L133" s="72"/>
      <x:c r="M133" s="72"/>
      <x:c r="N133" s="72"/>
      <x:c r="O133" s="71"/>
      <x:c r="P133" s="71"/>
      <x:c r="Q133" s="73"/>
      <x:c r="R133" s="72"/>
      <x:c r="S133" s="72"/>
      <x:c r="T133" s="73"/>
      <x:c r="U133" s="72"/>
      <x:c r="V133" s="72"/>
      <x:c r="W133" s="72"/>
    </x:row>
    <x:row r="134">
      <x:c r="A134" s="72"/>
      <x:c r="B134" s="72"/>
      <x:c r="C134" s="72"/>
      <x:c r="D134" s="72"/>
      <x:c r="E134" s="72"/>
      <x:c r="F134" s="72"/>
      <x:c r="G134" s="73"/>
      <x:c r="H134" s="71"/>
      <x:c r="I134" s="71"/>
      <x:c r="J134" s="72"/>
      <x:c r="K134" s="71"/>
      <x:c r="L134" s="72"/>
      <x:c r="M134" s="72"/>
      <x:c r="N134" s="72"/>
      <x:c r="O134" s="71"/>
      <x:c r="P134" s="71"/>
      <x:c r="Q134" s="73"/>
      <x:c r="R134" s="72"/>
      <x:c r="S134" s="72"/>
      <x:c r="T134" s="73"/>
      <x:c r="U134" s="72"/>
      <x:c r="V134" s="72"/>
      <x:c r="W134" s="72"/>
    </x:row>
    <x:row r="135">
      <x:c r="A135" s="72"/>
      <x:c r="B135" s="72"/>
      <x:c r="C135" s="72"/>
      <x:c r="D135" s="72"/>
      <x:c r="E135" s="72"/>
      <x:c r="F135" s="72"/>
      <x:c r="G135" s="73"/>
      <x:c r="H135" s="71"/>
      <x:c r="I135" s="71"/>
      <x:c r="J135" s="72"/>
      <x:c r="K135" s="71"/>
      <x:c r="L135" s="72"/>
      <x:c r="M135" s="72"/>
      <x:c r="N135" s="72"/>
      <x:c r="O135" s="71"/>
      <x:c r="P135" s="71"/>
      <x:c r="Q135" s="73"/>
      <x:c r="R135" s="72"/>
      <x:c r="S135" s="72"/>
      <x:c r="T135" s="73"/>
      <x:c r="U135" s="72"/>
      <x:c r="V135" s="72"/>
      <x:c r="W135" s="72"/>
    </x:row>
    <x:row r="136">
      <x:c r="A136" s="72"/>
      <x:c r="B136" s="72"/>
      <x:c r="C136" s="72"/>
      <x:c r="D136" s="72"/>
      <x:c r="E136" s="72"/>
      <x:c r="F136" s="72"/>
      <x:c r="G136" s="73"/>
      <x:c r="H136" s="71"/>
      <x:c r="I136" s="71"/>
      <x:c r="J136" s="72"/>
      <x:c r="K136" s="71"/>
      <x:c r="L136" s="72"/>
      <x:c r="M136" s="72"/>
      <x:c r="N136" s="72"/>
      <x:c r="O136" s="71"/>
      <x:c r="P136" s="71"/>
      <x:c r="Q136" s="73"/>
      <x:c r="R136" s="72"/>
      <x:c r="S136" s="72"/>
      <x:c r="T136" s="73"/>
      <x:c r="U136" s="72"/>
      <x:c r="V136" s="72"/>
      <x:c r="W136" s="72"/>
    </x:row>
    <x:row r="137">
      <x:c r="A137" s="72"/>
      <x:c r="B137" s="72"/>
      <x:c r="C137" s="72"/>
      <x:c r="D137" s="72"/>
      <x:c r="E137" s="72"/>
      <x:c r="F137" s="72"/>
      <x:c r="G137" s="73"/>
      <x:c r="H137" s="71"/>
      <x:c r="I137" s="71"/>
      <x:c r="J137" s="72"/>
      <x:c r="K137" s="71"/>
      <x:c r="L137" s="72"/>
      <x:c r="M137" s="72"/>
      <x:c r="N137" s="72"/>
      <x:c r="O137" s="71"/>
      <x:c r="P137" s="71"/>
      <x:c r="Q137" s="73"/>
      <x:c r="R137" s="72"/>
      <x:c r="S137" s="72"/>
      <x:c r="T137" s="73"/>
      <x:c r="U137" s="72"/>
      <x:c r="V137" s="72"/>
      <x:c r="W137" s="72"/>
    </x:row>
    <x:row r="138">
      <x:c r="A138" s="72"/>
      <x:c r="B138" s="72"/>
      <x:c r="C138" s="72"/>
      <x:c r="D138" s="72"/>
      <x:c r="E138" s="72"/>
      <x:c r="F138" s="72"/>
      <x:c r="G138" s="73"/>
      <x:c r="H138" s="71"/>
      <x:c r="I138" s="71"/>
      <x:c r="J138" s="72"/>
      <x:c r="K138" s="71"/>
      <x:c r="L138" s="72"/>
      <x:c r="M138" s="72"/>
      <x:c r="N138" s="72"/>
      <x:c r="O138" s="71"/>
      <x:c r="P138" s="71"/>
      <x:c r="Q138" s="73"/>
      <x:c r="R138" s="72"/>
      <x:c r="S138" s="72"/>
      <x:c r="T138" s="73"/>
      <x:c r="U138" s="72"/>
      <x:c r="V138" s="72"/>
      <x:c r="W138" s="72"/>
    </x:row>
    <x:row r="139">
      <x:c r="A139" s="72"/>
      <x:c r="B139" s="72"/>
      <x:c r="C139" s="72"/>
      <x:c r="D139" s="72"/>
      <x:c r="E139" s="72"/>
      <x:c r="F139" s="72"/>
      <x:c r="G139" s="73"/>
      <x:c r="H139" s="71"/>
      <x:c r="I139" s="71"/>
      <x:c r="J139" s="72"/>
      <x:c r="K139" s="71"/>
      <x:c r="L139" s="72"/>
      <x:c r="M139" s="72"/>
      <x:c r="N139" s="72"/>
      <x:c r="O139" s="71"/>
      <x:c r="P139" s="71"/>
      <x:c r="Q139" s="73"/>
      <x:c r="R139" s="72"/>
      <x:c r="S139" s="72"/>
      <x:c r="T139" s="73"/>
      <x:c r="U139" s="72"/>
      <x:c r="V139" s="72"/>
      <x:c r="W139" s="72"/>
    </x:row>
    <x:row r="140">
      <x:c r="A140" s="72"/>
      <x:c r="B140" s="72"/>
      <x:c r="C140" s="72"/>
      <x:c r="D140" s="72"/>
      <x:c r="E140" s="72"/>
      <x:c r="F140" s="72"/>
      <x:c r="G140" s="73"/>
      <x:c r="H140" s="71"/>
      <x:c r="I140" s="71"/>
      <x:c r="J140" s="72"/>
      <x:c r="K140" s="71"/>
      <x:c r="L140" s="72"/>
      <x:c r="M140" s="72"/>
      <x:c r="N140" s="72"/>
      <x:c r="O140" s="71"/>
      <x:c r="P140" s="71"/>
      <x:c r="Q140" s="73"/>
      <x:c r="R140" s="72"/>
      <x:c r="S140" s="72"/>
      <x:c r="T140" s="73"/>
      <x:c r="U140" s="72"/>
      <x:c r="V140" s="72"/>
      <x:c r="W140" s="72"/>
    </x:row>
    <x:row r="141">
      <x:c r="A141" s="72"/>
      <x:c r="B141" s="72"/>
      <x:c r="C141" s="72"/>
      <x:c r="D141" s="72"/>
      <x:c r="E141" s="72"/>
      <x:c r="F141" s="72"/>
      <x:c r="G141" s="73"/>
      <x:c r="H141" s="71"/>
      <x:c r="I141" s="71"/>
      <x:c r="J141" s="72"/>
      <x:c r="K141" s="71"/>
      <x:c r="L141" s="72"/>
      <x:c r="M141" s="72"/>
      <x:c r="N141" s="72"/>
      <x:c r="O141" s="71"/>
      <x:c r="P141" s="71"/>
      <x:c r="Q141" s="73"/>
      <x:c r="R141" s="72"/>
      <x:c r="S141" s="72"/>
      <x:c r="T141" s="73"/>
      <x:c r="U141" s="72"/>
      <x:c r="V141" s="72"/>
      <x:c r="W141" s="72"/>
    </x:row>
    <x:row r="142">
      <x:c r="A142" s="72"/>
      <x:c r="B142" s="72"/>
      <x:c r="C142" s="72"/>
      <x:c r="D142" s="72"/>
      <x:c r="E142" s="72"/>
      <x:c r="F142" s="72"/>
      <x:c r="G142" s="73"/>
      <x:c r="H142" s="71"/>
      <x:c r="I142" s="71"/>
      <x:c r="J142" s="72"/>
      <x:c r="K142" s="71"/>
      <x:c r="L142" s="72"/>
      <x:c r="M142" s="72"/>
      <x:c r="N142" s="72"/>
      <x:c r="O142" s="71"/>
      <x:c r="P142" s="71"/>
      <x:c r="Q142" s="73"/>
      <x:c r="R142" s="72"/>
      <x:c r="S142" s="72"/>
      <x:c r="T142" s="73"/>
      <x:c r="U142" s="72"/>
      <x:c r="V142" s="72"/>
      <x:c r="W142" s="72"/>
    </x:row>
    <x:row r="143">
      <x:c r="A143" s="72"/>
      <x:c r="B143" s="72"/>
      <x:c r="C143" s="72"/>
      <x:c r="D143" s="72"/>
      <x:c r="E143" s="72"/>
      <x:c r="F143" s="72"/>
      <x:c r="G143" s="73"/>
      <x:c r="H143" s="71"/>
      <x:c r="I143" s="71"/>
      <x:c r="J143" s="72"/>
      <x:c r="K143" s="71"/>
      <x:c r="L143" s="72"/>
      <x:c r="M143" s="72"/>
      <x:c r="N143" s="72"/>
      <x:c r="O143" s="71"/>
      <x:c r="P143" s="71"/>
      <x:c r="Q143" s="73"/>
      <x:c r="R143" s="72"/>
      <x:c r="S143" s="72"/>
      <x:c r="T143" s="73"/>
      <x:c r="U143" s="72"/>
      <x:c r="V143" s="72"/>
      <x:c r="W143" s="72"/>
    </x:row>
    <x:row r="144">
      <x:c r="A144" s="72"/>
      <x:c r="B144" s="72"/>
      <x:c r="C144" s="72"/>
      <x:c r="D144" s="72"/>
      <x:c r="E144" s="72"/>
      <x:c r="F144" s="72"/>
      <x:c r="G144" s="73"/>
      <x:c r="H144" s="71"/>
      <x:c r="I144" s="71"/>
      <x:c r="J144" s="72"/>
      <x:c r="K144" s="71"/>
      <x:c r="L144" s="72"/>
      <x:c r="M144" s="72"/>
      <x:c r="N144" s="72"/>
      <x:c r="O144" s="71"/>
      <x:c r="P144" s="71"/>
      <x:c r="Q144" s="73"/>
      <x:c r="R144" s="72"/>
      <x:c r="S144" s="72"/>
      <x:c r="T144" s="73"/>
      <x:c r="U144" s="72"/>
      <x:c r="V144" s="72"/>
      <x:c r="W144" s="72"/>
    </x:row>
    <x:row r="145">
      <x:c r="A145" s="72"/>
      <x:c r="B145" s="72"/>
      <x:c r="C145" s="72"/>
      <x:c r="D145" s="72"/>
      <x:c r="E145" s="72"/>
      <x:c r="F145" s="72"/>
      <x:c r="G145" s="73"/>
      <x:c r="H145" s="71"/>
      <x:c r="I145" s="71"/>
      <x:c r="J145" s="72"/>
      <x:c r="K145" s="71"/>
      <x:c r="L145" s="72"/>
      <x:c r="M145" s="72"/>
      <x:c r="N145" s="72"/>
      <x:c r="O145" s="71"/>
      <x:c r="P145" s="71"/>
      <x:c r="Q145" s="73"/>
      <x:c r="R145" s="72"/>
      <x:c r="S145" s="72"/>
      <x:c r="T145" s="73"/>
      <x:c r="U145" s="72"/>
      <x:c r="V145" s="72"/>
      <x:c r="W145" s="72"/>
    </x:row>
    <x:row r="146">
      <x:c r="A146" s="72"/>
      <x:c r="B146" s="72"/>
      <x:c r="C146" s="72"/>
      <x:c r="D146" s="72"/>
      <x:c r="E146" s="72"/>
      <x:c r="F146" s="72"/>
      <x:c r="G146" s="73"/>
      <x:c r="H146" s="71"/>
      <x:c r="I146" s="71"/>
      <x:c r="J146" s="72"/>
      <x:c r="K146" s="71"/>
      <x:c r="L146" s="72"/>
      <x:c r="M146" s="72"/>
      <x:c r="N146" s="72"/>
      <x:c r="O146" s="71"/>
      <x:c r="P146" s="71"/>
      <x:c r="Q146" s="73"/>
      <x:c r="R146" s="72"/>
      <x:c r="S146" s="72"/>
      <x:c r="T146" s="73"/>
      <x:c r="U146" s="72"/>
      <x:c r="V146" s="72"/>
      <x:c r="W146" s="72"/>
    </x:row>
    <x:row r="147">
      <x:c r="A147" s="72"/>
      <x:c r="B147" s="72"/>
      <x:c r="C147" s="72"/>
      <x:c r="D147" s="72"/>
      <x:c r="E147" s="72"/>
      <x:c r="F147" s="72"/>
      <x:c r="G147" s="73"/>
      <x:c r="H147" s="71"/>
      <x:c r="I147" s="71"/>
      <x:c r="J147" s="72"/>
      <x:c r="K147" s="71"/>
      <x:c r="L147" s="72"/>
      <x:c r="M147" s="72"/>
      <x:c r="N147" s="72"/>
      <x:c r="O147" s="71"/>
      <x:c r="P147" s="71"/>
      <x:c r="Q147" s="73"/>
      <x:c r="R147" s="72"/>
      <x:c r="S147" s="72"/>
      <x:c r="T147" s="73"/>
      <x:c r="U147" s="72"/>
      <x:c r="V147" s="72"/>
      <x:c r="W147" s="72"/>
    </x:row>
    <x:row r="148">
      <x:c r="A148" s="72"/>
      <x:c r="B148" s="72"/>
      <x:c r="C148" s="72"/>
      <x:c r="D148" s="72"/>
      <x:c r="E148" s="72"/>
      <x:c r="F148" s="72"/>
      <x:c r="G148" s="73"/>
      <x:c r="H148" s="71"/>
      <x:c r="I148" s="71"/>
      <x:c r="J148" s="72"/>
      <x:c r="K148" s="71"/>
      <x:c r="L148" s="72"/>
      <x:c r="M148" s="72"/>
      <x:c r="N148" s="72"/>
      <x:c r="O148" s="71"/>
      <x:c r="P148" s="71"/>
      <x:c r="Q148" s="73"/>
      <x:c r="R148" s="72"/>
      <x:c r="S148" s="72"/>
      <x:c r="T148" s="73"/>
      <x:c r="U148" s="72"/>
      <x:c r="V148" s="72"/>
      <x:c r="W148" s="72"/>
    </x:row>
    <x:row r="149">
      <x:c r="A149" s="72"/>
      <x:c r="B149" s="72"/>
      <x:c r="C149" s="72"/>
      <x:c r="D149" s="72"/>
      <x:c r="E149" s="72"/>
      <x:c r="F149" s="72"/>
      <x:c r="G149" s="73"/>
      <x:c r="H149" s="71"/>
      <x:c r="I149" s="71"/>
      <x:c r="J149" s="72"/>
      <x:c r="K149" s="71"/>
      <x:c r="L149" s="72"/>
      <x:c r="M149" s="72"/>
      <x:c r="N149" s="72"/>
      <x:c r="O149" s="71"/>
      <x:c r="P149" s="71"/>
      <x:c r="Q149" s="73"/>
      <x:c r="R149" s="72"/>
      <x:c r="S149" s="72"/>
      <x:c r="T149" s="73"/>
      <x:c r="U149" s="72"/>
      <x:c r="V149" s="72"/>
      <x:c r="W149" s="72"/>
    </x:row>
    <x:row r="150">
      <x:c r="A150" s="72"/>
      <x:c r="B150" s="72"/>
      <x:c r="C150" s="72"/>
      <x:c r="D150" s="72"/>
      <x:c r="E150" s="72"/>
      <x:c r="F150" s="72"/>
      <x:c r="G150" s="73"/>
      <x:c r="H150" s="71"/>
      <x:c r="I150" s="71"/>
      <x:c r="J150" s="72"/>
      <x:c r="K150" s="71"/>
      <x:c r="L150" s="72"/>
      <x:c r="M150" s="72"/>
      <x:c r="N150" s="72"/>
      <x:c r="O150" s="71"/>
      <x:c r="P150" s="71"/>
      <x:c r="Q150" s="73"/>
      <x:c r="R150" s="72"/>
      <x:c r="S150" s="72"/>
      <x:c r="T150" s="73"/>
      <x:c r="U150" s="72"/>
      <x:c r="V150" s="72"/>
      <x:c r="W150" s="72"/>
    </x:row>
    <x:row r="151">
      <x:c r="A151" s="72"/>
      <x:c r="B151" s="72"/>
      <x:c r="C151" s="72"/>
      <x:c r="D151" s="72"/>
      <x:c r="E151" s="72"/>
      <x:c r="F151" s="72"/>
      <x:c r="G151" s="73"/>
      <x:c r="H151" s="71"/>
      <x:c r="I151" s="71"/>
      <x:c r="J151" s="72"/>
      <x:c r="K151" s="71"/>
      <x:c r="L151" s="72"/>
      <x:c r="M151" s="72"/>
      <x:c r="N151" s="72"/>
      <x:c r="O151" s="71"/>
      <x:c r="P151" s="71"/>
      <x:c r="Q151" s="73"/>
      <x:c r="R151" s="72"/>
      <x:c r="S151" s="72"/>
      <x:c r="T151" s="73"/>
      <x:c r="U151" s="72"/>
      <x:c r="V151" s="72"/>
      <x:c r="W151" s="72"/>
    </x:row>
    <x:row r="152">
      <x:c r="A152" s="72"/>
      <x:c r="B152" s="72"/>
      <x:c r="C152" s="72"/>
      <x:c r="D152" s="72"/>
      <x:c r="E152" s="72"/>
      <x:c r="F152" s="72"/>
      <x:c r="G152" s="73"/>
      <x:c r="H152" s="71"/>
      <x:c r="I152" s="71"/>
      <x:c r="J152" s="72"/>
      <x:c r="K152" s="71"/>
      <x:c r="L152" s="72"/>
      <x:c r="M152" s="72"/>
      <x:c r="N152" s="72"/>
      <x:c r="O152" s="71"/>
      <x:c r="P152" s="71"/>
      <x:c r="Q152" s="73"/>
      <x:c r="R152" s="72"/>
      <x:c r="S152" s="72"/>
      <x:c r="T152" s="73"/>
      <x:c r="U152" s="72"/>
      <x:c r="V152" s="72"/>
      <x:c r="W152" s="72"/>
    </x:row>
    <x:row r="153">
      <x:c r="A153" s="72"/>
      <x:c r="B153" s="72"/>
      <x:c r="C153" s="72"/>
      <x:c r="D153" s="72"/>
      <x:c r="E153" s="72"/>
      <x:c r="F153" s="72"/>
      <x:c r="G153" s="73"/>
      <x:c r="H153" s="71"/>
      <x:c r="I153" s="71"/>
      <x:c r="J153" s="72"/>
      <x:c r="K153" s="71"/>
      <x:c r="L153" s="72"/>
      <x:c r="M153" s="72"/>
      <x:c r="N153" s="72"/>
      <x:c r="O153" s="71"/>
      <x:c r="P153" s="71"/>
      <x:c r="Q153" s="73"/>
      <x:c r="R153" s="72"/>
      <x:c r="S153" s="72"/>
      <x:c r="T153" s="73"/>
      <x:c r="U153" s="72"/>
      <x:c r="V153" s="72"/>
      <x:c r="W153" s="72"/>
    </x:row>
    <x:row r="154">
      <x:c r="A154" s="72"/>
      <x:c r="B154" s="72"/>
      <x:c r="C154" s="72"/>
      <x:c r="D154" s="72"/>
      <x:c r="E154" s="72"/>
      <x:c r="F154" s="72"/>
      <x:c r="G154" s="73"/>
      <x:c r="H154" s="71"/>
      <x:c r="I154" s="71"/>
      <x:c r="J154" s="72"/>
      <x:c r="K154" s="71"/>
      <x:c r="L154" s="72"/>
      <x:c r="M154" s="72"/>
      <x:c r="N154" s="72"/>
      <x:c r="O154" s="71"/>
      <x:c r="P154" s="71"/>
      <x:c r="Q154" s="73"/>
      <x:c r="R154" s="72"/>
      <x:c r="S154" s="72"/>
      <x:c r="T154" s="73"/>
      <x:c r="U154" s="72"/>
      <x:c r="V154" s="72"/>
      <x:c r="W154" s="72"/>
    </x:row>
    <x:row r="155">
      <x:c r="A155" s="72"/>
      <x:c r="B155" s="72"/>
      <x:c r="C155" s="72"/>
      <x:c r="D155" s="72"/>
      <x:c r="E155" s="72"/>
      <x:c r="F155" s="72"/>
      <x:c r="G155" s="73"/>
      <x:c r="H155" s="71"/>
      <x:c r="I155" s="71"/>
      <x:c r="J155" s="72"/>
      <x:c r="K155" s="71"/>
      <x:c r="L155" s="72"/>
      <x:c r="M155" s="72"/>
      <x:c r="N155" s="72"/>
      <x:c r="O155" s="71"/>
      <x:c r="P155" s="71"/>
      <x:c r="Q155" s="73"/>
      <x:c r="R155" s="72"/>
      <x:c r="S155" s="72"/>
      <x:c r="T155" s="73"/>
      <x:c r="U155" s="72"/>
      <x:c r="V155" s="72"/>
      <x:c r="W155" s="72"/>
    </x:row>
    <x:row r="156">
      <x:c r="A156" s="72"/>
      <x:c r="B156" s="72"/>
      <x:c r="C156" s="72"/>
      <x:c r="D156" s="72"/>
      <x:c r="E156" s="72"/>
      <x:c r="F156" s="72"/>
      <x:c r="G156" s="73"/>
      <x:c r="H156" s="71"/>
      <x:c r="I156" s="71"/>
      <x:c r="J156" s="72"/>
      <x:c r="K156" s="71"/>
      <x:c r="L156" s="72"/>
      <x:c r="M156" s="72"/>
      <x:c r="N156" s="72"/>
      <x:c r="O156" s="71"/>
      <x:c r="P156" s="71"/>
      <x:c r="Q156" s="73"/>
      <x:c r="R156" s="72"/>
      <x:c r="S156" s="72"/>
      <x:c r="T156" s="73"/>
      <x:c r="U156" s="72"/>
      <x:c r="V156" s="72"/>
      <x:c r="W156" s="72"/>
    </x:row>
    <x:row r="157">
      <x:c r="A157" s="72"/>
      <x:c r="B157" s="72"/>
      <x:c r="C157" s="72"/>
      <x:c r="D157" s="72"/>
      <x:c r="E157" s="72"/>
      <x:c r="F157" s="72"/>
      <x:c r="G157" s="73"/>
      <x:c r="H157" s="71"/>
      <x:c r="I157" s="71"/>
      <x:c r="J157" s="72"/>
      <x:c r="K157" s="71"/>
      <x:c r="L157" s="72"/>
      <x:c r="M157" s="72"/>
      <x:c r="N157" s="72"/>
      <x:c r="O157" s="71"/>
      <x:c r="P157" s="71"/>
      <x:c r="Q157" s="73"/>
      <x:c r="R157" s="72"/>
      <x:c r="S157" s="72"/>
      <x:c r="T157" s="73"/>
      <x:c r="U157" s="72"/>
      <x:c r="V157" s="72"/>
      <x:c r="W157" s="72"/>
    </x:row>
    <x:row r="158">
      <x:c r="A158" s="72"/>
      <x:c r="B158" s="72"/>
      <x:c r="C158" s="72"/>
      <x:c r="D158" s="72"/>
      <x:c r="E158" s="72"/>
      <x:c r="F158" s="72"/>
      <x:c r="G158" s="73"/>
      <x:c r="H158" s="71"/>
      <x:c r="I158" s="71"/>
      <x:c r="J158" s="72"/>
      <x:c r="K158" s="71"/>
      <x:c r="L158" s="72"/>
      <x:c r="M158" s="72"/>
      <x:c r="N158" s="72"/>
      <x:c r="O158" s="71"/>
      <x:c r="P158" s="71"/>
      <x:c r="Q158" s="73"/>
      <x:c r="R158" s="72"/>
      <x:c r="S158" s="72"/>
      <x:c r="T158" s="73"/>
      <x:c r="U158" s="72"/>
      <x:c r="V158" s="72"/>
      <x:c r="W158" s="72"/>
    </x:row>
    <x:row r="159">
      <x:c r="A159" s="72"/>
      <x:c r="B159" s="72"/>
      <x:c r="C159" s="72"/>
      <x:c r="D159" s="72"/>
      <x:c r="E159" s="72"/>
      <x:c r="F159" s="72"/>
      <x:c r="G159" s="73"/>
      <x:c r="H159" s="71"/>
      <x:c r="I159" s="71"/>
      <x:c r="J159" s="72"/>
      <x:c r="K159" s="71"/>
      <x:c r="L159" s="72"/>
      <x:c r="M159" s="72"/>
      <x:c r="N159" s="72"/>
      <x:c r="O159" s="71"/>
      <x:c r="P159" s="71"/>
      <x:c r="Q159" s="73"/>
      <x:c r="R159" s="72"/>
      <x:c r="S159" s="72"/>
      <x:c r="T159" s="73"/>
      <x:c r="U159" s="72"/>
      <x:c r="V159" s="72"/>
      <x:c r="W159" s="72"/>
    </x:row>
    <x:row r="160">
      <x:c r="A160" s="72"/>
      <x:c r="B160" s="72"/>
      <x:c r="C160" s="72"/>
      <x:c r="D160" s="72"/>
      <x:c r="E160" s="72"/>
      <x:c r="F160" s="72"/>
      <x:c r="G160" s="73"/>
      <x:c r="H160" s="71"/>
      <x:c r="I160" s="71"/>
      <x:c r="J160" s="72"/>
      <x:c r="K160" s="71"/>
      <x:c r="L160" s="72"/>
      <x:c r="M160" s="72"/>
      <x:c r="N160" s="72"/>
      <x:c r="O160" s="71"/>
      <x:c r="P160" s="71"/>
      <x:c r="Q160" s="73"/>
      <x:c r="R160" s="72"/>
      <x:c r="S160" s="72"/>
      <x:c r="T160" s="73"/>
      <x:c r="U160" s="72"/>
      <x:c r="V160" s="72"/>
      <x:c r="W160" s="72"/>
    </x:row>
    <x:row r="161">
      <x:c r="A161" s="72"/>
      <x:c r="B161" s="72"/>
      <x:c r="C161" s="72"/>
      <x:c r="D161" s="72"/>
      <x:c r="E161" s="72"/>
      <x:c r="F161" s="72"/>
      <x:c r="G161" s="73"/>
      <x:c r="H161" s="71"/>
      <x:c r="I161" s="71"/>
      <x:c r="J161" s="72"/>
      <x:c r="K161" s="71"/>
      <x:c r="L161" s="72"/>
      <x:c r="M161" s="72"/>
      <x:c r="N161" s="72"/>
      <x:c r="O161" s="71"/>
      <x:c r="P161" s="71"/>
      <x:c r="Q161" s="73"/>
      <x:c r="R161" s="72"/>
      <x:c r="S161" s="72"/>
      <x:c r="T161" s="73"/>
      <x:c r="U161" s="72"/>
      <x:c r="V161" s="72"/>
      <x:c r="W161" s="72"/>
    </x:row>
    <x:row r="162">
      <x:c r="A162" s="72"/>
      <x:c r="B162" s="72"/>
      <x:c r="C162" s="72"/>
      <x:c r="D162" s="72"/>
      <x:c r="E162" s="72"/>
      <x:c r="F162" s="72"/>
      <x:c r="G162" s="73"/>
      <x:c r="H162" s="71"/>
      <x:c r="I162" s="71"/>
      <x:c r="J162" s="72"/>
      <x:c r="K162" s="71"/>
      <x:c r="L162" s="72"/>
      <x:c r="M162" s="72"/>
      <x:c r="N162" s="72"/>
      <x:c r="O162" s="71"/>
      <x:c r="P162" s="71"/>
      <x:c r="Q162" s="73"/>
      <x:c r="R162" s="72"/>
      <x:c r="S162" s="72"/>
      <x:c r="T162" s="73"/>
      <x:c r="U162" s="72"/>
      <x:c r="V162" s="72"/>
      <x:c r="W162" s="72"/>
    </x:row>
    <x:row r="163">
      <x:c r="A163" s="72"/>
      <x:c r="B163" s="72"/>
      <x:c r="C163" s="72"/>
      <x:c r="D163" s="72"/>
      <x:c r="E163" s="72"/>
      <x:c r="F163" s="72"/>
      <x:c r="G163" s="73"/>
      <x:c r="H163" s="71"/>
      <x:c r="I163" s="71"/>
      <x:c r="J163" s="72"/>
      <x:c r="K163" s="71"/>
      <x:c r="L163" s="72"/>
      <x:c r="M163" s="72"/>
      <x:c r="N163" s="72"/>
      <x:c r="O163" s="71"/>
      <x:c r="P163" s="71"/>
      <x:c r="Q163" s="73"/>
      <x:c r="R163" s="72"/>
      <x:c r="S163" s="72"/>
      <x:c r="T163" s="73"/>
      <x:c r="U163" s="72"/>
      <x:c r="V163" s="72"/>
      <x:c r="W163" s="72"/>
    </x:row>
    <x:row r="164">
      <x:c r="A164" s="72"/>
      <x:c r="B164" s="72"/>
      <x:c r="C164" s="72"/>
      <x:c r="D164" s="72"/>
      <x:c r="E164" s="72"/>
      <x:c r="F164" s="72"/>
      <x:c r="G164" s="73"/>
      <x:c r="H164" s="71"/>
      <x:c r="I164" s="71"/>
      <x:c r="J164" s="72"/>
      <x:c r="K164" s="71"/>
      <x:c r="L164" s="72"/>
      <x:c r="M164" s="72"/>
      <x:c r="N164" s="72"/>
      <x:c r="O164" s="71"/>
      <x:c r="P164" s="71"/>
      <x:c r="Q164" s="73"/>
      <x:c r="R164" s="72"/>
      <x:c r="S164" s="72"/>
      <x:c r="T164" s="73"/>
      <x:c r="U164" s="72"/>
      <x:c r="V164" s="72"/>
      <x:c r="W164" s="72"/>
    </x:row>
    <x:row r="165">
      <x:c r="A165" s="72"/>
      <x:c r="B165" s="72"/>
      <x:c r="C165" s="72"/>
      <x:c r="D165" s="72"/>
      <x:c r="E165" s="72"/>
      <x:c r="F165" s="72"/>
      <x:c r="G165" s="73"/>
      <x:c r="H165" s="71"/>
      <x:c r="I165" s="71"/>
      <x:c r="J165" s="72"/>
      <x:c r="K165" s="71"/>
      <x:c r="L165" s="72"/>
      <x:c r="M165" s="72"/>
      <x:c r="N165" s="72"/>
      <x:c r="O165" s="71"/>
      <x:c r="P165" s="71"/>
      <x:c r="Q165" s="73"/>
      <x:c r="R165" s="72"/>
      <x:c r="S165" s="72"/>
      <x:c r="T165" s="73"/>
      <x:c r="U165" s="72"/>
      <x:c r="V165" s="72"/>
      <x:c r="W165" s="72"/>
    </x:row>
    <x:row r="166">
      <x:c r="A166" s="72"/>
      <x:c r="B166" s="72"/>
      <x:c r="C166" s="72"/>
      <x:c r="D166" s="72"/>
      <x:c r="E166" s="72"/>
      <x:c r="F166" s="72"/>
      <x:c r="G166" s="73"/>
      <x:c r="H166" s="71"/>
      <x:c r="I166" s="71"/>
      <x:c r="J166" s="72"/>
      <x:c r="K166" s="71"/>
      <x:c r="L166" s="72"/>
      <x:c r="M166" s="72"/>
      <x:c r="N166" s="72"/>
      <x:c r="O166" s="71"/>
      <x:c r="P166" s="71"/>
      <x:c r="Q166" s="73"/>
      <x:c r="R166" s="72"/>
      <x:c r="S166" s="72"/>
      <x:c r="T166" s="73"/>
      <x:c r="U166" s="72"/>
      <x:c r="V166" s="72"/>
      <x:c r="W166" s="72"/>
    </x:row>
    <x:row r="167">
      <x:c r="A167" s="72"/>
      <x:c r="B167" s="72"/>
      <x:c r="C167" s="72"/>
      <x:c r="D167" s="72"/>
      <x:c r="E167" s="72"/>
      <x:c r="F167" s="72"/>
      <x:c r="G167" s="73"/>
      <x:c r="H167" s="71"/>
      <x:c r="I167" s="71"/>
      <x:c r="J167" s="72"/>
      <x:c r="K167" s="71"/>
      <x:c r="L167" s="72"/>
      <x:c r="M167" s="72"/>
      <x:c r="N167" s="72"/>
      <x:c r="O167" s="71"/>
      <x:c r="P167" s="71"/>
      <x:c r="Q167" s="73"/>
      <x:c r="R167" s="72"/>
      <x:c r="S167" s="72"/>
      <x:c r="T167" s="73"/>
      <x:c r="U167" s="72"/>
      <x:c r="V167" s="72"/>
      <x:c r="W167" s="72"/>
    </x:row>
    <x:row r="168">
      <x:c r="A168" s="72"/>
      <x:c r="B168" s="72"/>
      <x:c r="C168" s="72"/>
      <x:c r="D168" s="72"/>
      <x:c r="E168" s="72"/>
      <x:c r="F168" s="72"/>
      <x:c r="G168" s="73"/>
      <x:c r="H168" s="71"/>
      <x:c r="I168" s="71"/>
      <x:c r="J168" s="72"/>
      <x:c r="K168" s="71"/>
      <x:c r="L168" s="72"/>
      <x:c r="M168" s="72"/>
      <x:c r="N168" s="72"/>
      <x:c r="O168" s="71"/>
      <x:c r="P168" s="71"/>
      <x:c r="Q168" s="73"/>
      <x:c r="R168" s="72"/>
      <x:c r="S168" s="72"/>
      <x:c r="T168" s="73"/>
      <x:c r="U168" s="72"/>
      <x:c r="V168" s="72"/>
      <x:c r="W168" s="72"/>
    </x:row>
    <x:row r="169">
      <x:c r="A169" s="72"/>
      <x:c r="B169" s="72"/>
      <x:c r="C169" s="72"/>
      <x:c r="D169" s="72"/>
      <x:c r="E169" s="72"/>
      <x:c r="F169" s="72"/>
      <x:c r="G169" s="73"/>
      <x:c r="H169" s="71"/>
      <x:c r="I169" s="71"/>
      <x:c r="J169" s="72"/>
      <x:c r="K169" s="71"/>
      <x:c r="L169" s="72"/>
      <x:c r="M169" s="72"/>
      <x:c r="N169" s="72"/>
      <x:c r="O169" s="71"/>
      <x:c r="P169" s="71"/>
      <x:c r="Q169" s="73"/>
      <x:c r="R169" s="72"/>
      <x:c r="S169" s="72"/>
      <x:c r="T169" s="73"/>
      <x:c r="U169" s="72"/>
      <x:c r="V169" s="72"/>
      <x:c r="W169" s="72"/>
    </x:row>
    <x:row r="170">
      <x:c r="A170" s="72"/>
      <x:c r="B170" s="72"/>
      <x:c r="C170" s="72"/>
      <x:c r="D170" s="72"/>
      <x:c r="E170" s="72"/>
      <x:c r="F170" s="72"/>
      <x:c r="G170" s="73"/>
      <x:c r="H170" s="71"/>
      <x:c r="I170" s="71"/>
      <x:c r="J170" s="72"/>
      <x:c r="K170" s="71"/>
      <x:c r="L170" s="72"/>
      <x:c r="M170" s="72"/>
      <x:c r="N170" s="72"/>
      <x:c r="O170" s="71"/>
      <x:c r="P170" s="71"/>
      <x:c r="Q170" s="73"/>
      <x:c r="R170" s="72"/>
      <x:c r="S170" s="72"/>
      <x:c r="T170" s="73"/>
      <x:c r="U170" s="72"/>
      <x:c r="V170" s="72"/>
      <x:c r="W170" s="72"/>
    </x:row>
    <x:row r="171">
      <x:c r="A171" s="72"/>
      <x:c r="B171" s="72"/>
      <x:c r="C171" s="72"/>
      <x:c r="D171" s="72"/>
      <x:c r="E171" s="72"/>
      <x:c r="F171" s="72"/>
      <x:c r="G171" s="73"/>
      <x:c r="H171" s="71"/>
      <x:c r="I171" s="71"/>
      <x:c r="J171" s="72"/>
      <x:c r="K171" s="71"/>
      <x:c r="L171" s="72"/>
      <x:c r="M171" s="72"/>
      <x:c r="N171" s="72"/>
      <x:c r="O171" s="71"/>
      <x:c r="P171" s="71"/>
      <x:c r="Q171" s="73"/>
      <x:c r="R171" s="72"/>
      <x:c r="S171" s="72"/>
      <x:c r="T171" s="73"/>
      <x:c r="U171" s="72"/>
      <x:c r="V171" s="72"/>
      <x:c r="W171" s="72"/>
    </x:row>
    <x:row r="172">
      <x:c r="A172" s="72"/>
      <x:c r="B172" s="72"/>
      <x:c r="C172" s="72"/>
      <x:c r="D172" s="72"/>
      <x:c r="E172" s="72"/>
      <x:c r="F172" s="72"/>
      <x:c r="G172" s="73"/>
      <x:c r="H172" s="71"/>
      <x:c r="I172" s="71"/>
      <x:c r="J172" s="72"/>
      <x:c r="K172" s="71"/>
      <x:c r="L172" s="72"/>
      <x:c r="M172" s="72"/>
      <x:c r="N172" s="72"/>
      <x:c r="O172" s="71"/>
      <x:c r="P172" s="71"/>
      <x:c r="Q172" s="73"/>
      <x:c r="R172" s="72"/>
      <x:c r="S172" s="72"/>
      <x:c r="T172" s="73"/>
      <x:c r="U172" s="72"/>
      <x:c r="V172" s="72"/>
      <x:c r="W172" s="72"/>
    </x:row>
    <x:row r="173">
      <x:c r="A173" s="72"/>
      <x:c r="B173" s="72"/>
      <x:c r="C173" s="72"/>
      <x:c r="D173" s="72"/>
      <x:c r="E173" s="72"/>
      <x:c r="F173" s="72"/>
      <x:c r="G173" s="73"/>
      <x:c r="H173" s="71"/>
      <x:c r="I173" s="71"/>
      <x:c r="J173" s="72"/>
      <x:c r="K173" s="71"/>
      <x:c r="L173" s="72"/>
      <x:c r="M173" s="72"/>
      <x:c r="N173" s="72"/>
      <x:c r="O173" s="71"/>
      <x:c r="P173" s="71"/>
      <x:c r="Q173" s="73"/>
      <x:c r="R173" s="72"/>
      <x:c r="S173" s="72"/>
      <x:c r="T173" s="73"/>
      <x:c r="U173" s="72"/>
      <x:c r="V173" s="72"/>
      <x:c r="W173" s="72"/>
    </x:row>
    <x:row r="174">
      <x:c r="A174" s="72"/>
      <x:c r="B174" s="72"/>
      <x:c r="C174" s="72"/>
      <x:c r="D174" s="72"/>
      <x:c r="E174" s="72"/>
      <x:c r="F174" s="72"/>
      <x:c r="G174" s="73"/>
      <x:c r="H174" s="71"/>
      <x:c r="I174" s="71"/>
      <x:c r="J174" s="72"/>
      <x:c r="K174" s="71"/>
      <x:c r="L174" s="72"/>
      <x:c r="M174" s="72"/>
      <x:c r="N174" s="72"/>
      <x:c r="O174" s="71"/>
      <x:c r="P174" s="71"/>
      <x:c r="Q174" s="73"/>
      <x:c r="R174" s="72"/>
      <x:c r="S174" s="72"/>
      <x:c r="T174" s="73"/>
      <x:c r="U174" s="72"/>
      <x:c r="V174" s="72"/>
      <x:c r="W174" s="72"/>
    </x:row>
    <x:row r="175">
      <x:c r="A175" s="72"/>
      <x:c r="B175" s="72"/>
      <x:c r="C175" s="72"/>
      <x:c r="D175" s="72"/>
      <x:c r="E175" s="72"/>
      <x:c r="F175" s="72"/>
      <x:c r="G175" s="73"/>
      <x:c r="H175" s="71"/>
      <x:c r="I175" s="71"/>
      <x:c r="J175" s="72"/>
      <x:c r="K175" s="71"/>
      <x:c r="L175" s="72"/>
      <x:c r="M175" s="72"/>
      <x:c r="N175" s="72"/>
      <x:c r="O175" s="71"/>
      <x:c r="P175" s="71"/>
      <x:c r="Q175" s="73"/>
      <x:c r="R175" s="72"/>
      <x:c r="S175" s="72"/>
      <x:c r="T175" s="73"/>
      <x:c r="U175" s="72"/>
      <x:c r="V175" s="72"/>
      <x:c r="W175" s="72"/>
    </x:row>
    <x:row r="176">
      <x:c r="A176" s="72"/>
      <x:c r="B176" s="72"/>
      <x:c r="C176" s="72"/>
      <x:c r="D176" s="72"/>
      <x:c r="E176" s="72"/>
      <x:c r="F176" s="72"/>
      <x:c r="G176" s="73"/>
      <x:c r="H176" s="71"/>
      <x:c r="I176" s="71"/>
      <x:c r="J176" s="72"/>
      <x:c r="K176" s="71"/>
      <x:c r="L176" s="72"/>
      <x:c r="M176" s="72"/>
      <x:c r="N176" s="72"/>
      <x:c r="O176" s="71"/>
      <x:c r="P176" s="71"/>
      <x:c r="Q176" s="73"/>
      <x:c r="R176" s="72"/>
      <x:c r="S176" s="72"/>
      <x:c r="T176" s="73"/>
      <x:c r="U176" s="72"/>
      <x:c r="V176" s="72"/>
      <x:c r="W176" s="72"/>
    </x:row>
    <x:row r="177">
      <x:c r="A177" s="72"/>
      <x:c r="B177" s="72"/>
      <x:c r="C177" s="72"/>
      <x:c r="D177" s="72"/>
      <x:c r="E177" s="72"/>
      <x:c r="F177" s="72"/>
      <x:c r="G177" s="73"/>
      <x:c r="H177" s="71"/>
      <x:c r="I177" s="71"/>
      <x:c r="J177" s="72"/>
      <x:c r="K177" s="71"/>
      <x:c r="L177" s="72"/>
      <x:c r="M177" s="72"/>
      <x:c r="N177" s="72"/>
      <x:c r="O177" s="71"/>
      <x:c r="P177" s="71"/>
      <x:c r="Q177" s="73"/>
      <x:c r="R177" s="72"/>
      <x:c r="S177" s="72"/>
      <x:c r="T177" s="73"/>
      <x:c r="U177" s="72"/>
      <x:c r="V177" s="72"/>
      <x:c r="W177" s="72"/>
    </x:row>
    <x:row r="178">
      <x:c r="A178" s="72"/>
      <x:c r="B178" s="72"/>
      <x:c r="C178" s="72"/>
      <x:c r="D178" s="72"/>
      <x:c r="E178" s="72"/>
      <x:c r="F178" s="72"/>
      <x:c r="G178" s="73"/>
      <x:c r="H178" s="71"/>
      <x:c r="I178" s="71"/>
      <x:c r="J178" s="72"/>
      <x:c r="K178" s="71"/>
      <x:c r="L178" s="72"/>
      <x:c r="M178" s="72"/>
      <x:c r="N178" s="72"/>
      <x:c r="O178" s="71"/>
      <x:c r="P178" s="71"/>
      <x:c r="Q178" s="73"/>
      <x:c r="R178" s="72"/>
      <x:c r="S178" s="72"/>
      <x:c r="T178" s="73"/>
      <x:c r="U178" s="72"/>
      <x:c r="V178" s="72"/>
      <x:c r="W178" s="72"/>
    </x:row>
    <x:row r="179">
      <x:c r="A179" s="72"/>
      <x:c r="B179" s="72"/>
      <x:c r="C179" s="72"/>
      <x:c r="D179" s="72"/>
      <x:c r="E179" s="72"/>
      <x:c r="F179" s="72"/>
      <x:c r="G179" s="73"/>
      <x:c r="H179" s="71"/>
      <x:c r="I179" s="71"/>
      <x:c r="J179" s="72"/>
      <x:c r="K179" s="71"/>
      <x:c r="L179" s="72"/>
      <x:c r="M179" s="72"/>
      <x:c r="N179" s="72"/>
      <x:c r="O179" s="71"/>
      <x:c r="P179" s="71"/>
      <x:c r="Q179" s="73"/>
      <x:c r="R179" s="72"/>
      <x:c r="S179" s="72"/>
      <x:c r="T179" s="73"/>
      <x:c r="U179" s="72"/>
      <x:c r="V179" s="72"/>
      <x:c r="W179" s="72"/>
    </x:row>
    <x:row r="180">
      <x:c r="A180" s="72"/>
      <x:c r="B180" s="72"/>
      <x:c r="C180" s="72"/>
      <x:c r="D180" s="72"/>
      <x:c r="E180" s="72"/>
      <x:c r="F180" s="72"/>
      <x:c r="G180" s="73"/>
      <x:c r="H180" s="71"/>
      <x:c r="I180" s="71"/>
      <x:c r="J180" s="72"/>
      <x:c r="K180" s="71"/>
      <x:c r="L180" s="72"/>
      <x:c r="M180" s="72"/>
      <x:c r="N180" s="72"/>
      <x:c r="O180" s="71"/>
      <x:c r="P180" s="71"/>
      <x:c r="Q180" s="73"/>
      <x:c r="R180" s="72"/>
      <x:c r="S180" s="72"/>
      <x:c r="T180" s="73"/>
      <x:c r="U180" s="72"/>
      <x:c r="V180" s="72"/>
      <x:c r="W180" s="72"/>
    </x:row>
    <x:row r="181">
      <x:c r="A181" s="72"/>
      <x:c r="B181" s="72"/>
      <x:c r="C181" s="72"/>
      <x:c r="D181" s="72"/>
      <x:c r="E181" s="72"/>
      <x:c r="F181" s="72"/>
      <x:c r="G181" s="73"/>
      <x:c r="H181" s="71"/>
      <x:c r="I181" s="71"/>
      <x:c r="J181" s="72"/>
      <x:c r="K181" s="71"/>
      <x:c r="L181" s="72"/>
      <x:c r="M181" s="72"/>
      <x:c r="N181" s="72"/>
      <x:c r="O181" s="71"/>
      <x:c r="P181" s="71"/>
      <x:c r="Q181" s="73"/>
      <x:c r="R181" s="72"/>
      <x:c r="S181" s="72"/>
      <x:c r="T181" s="73"/>
      <x:c r="U181" s="72"/>
      <x:c r="V181" s="72"/>
      <x:c r="W181" s="72"/>
    </x:row>
    <x:row r="182">
      <x:c r="A182" s="72"/>
      <x:c r="B182" s="72"/>
      <x:c r="C182" s="72"/>
      <x:c r="D182" s="72"/>
      <x:c r="E182" s="72"/>
      <x:c r="F182" s="72"/>
      <x:c r="G182" s="73"/>
      <x:c r="H182" s="71"/>
      <x:c r="I182" s="71"/>
      <x:c r="J182" s="72"/>
      <x:c r="K182" s="71"/>
      <x:c r="L182" s="72"/>
      <x:c r="M182" s="72"/>
      <x:c r="N182" s="72"/>
      <x:c r="O182" s="71"/>
      <x:c r="P182" s="71"/>
      <x:c r="Q182" s="73"/>
      <x:c r="R182" s="72"/>
      <x:c r="S182" s="72"/>
      <x:c r="T182" s="73"/>
      <x:c r="U182" s="72"/>
      <x:c r="V182" s="72"/>
      <x:c r="W182" s="72"/>
    </x:row>
    <x:row r="183">
      <x:c r="A183" s="72"/>
      <x:c r="B183" s="72"/>
      <x:c r="C183" s="72"/>
      <x:c r="D183" s="72"/>
      <x:c r="E183" s="72"/>
      <x:c r="F183" s="72"/>
      <x:c r="G183" s="73"/>
      <x:c r="H183" s="71"/>
      <x:c r="I183" s="71"/>
      <x:c r="J183" s="72"/>
      <x:c r="K183" s="71"/>
      <x:c r="L183" s="72"/>
      <x:c r="M183" s="72"/>
      <x:c r="N183" s="72"/>
      <x:c r="O183" s="71"/>
      <x:c r="P183" s="71"/>
      <x:c r="Q183" s="73"/>
      <x:c r="R183" s="72"/>
      <x:c r="S183" s="72"/>
      <x:c r="T183" s="73"/>
      <x:c r="U183" s="72"/>
      <x:c r="V183" s="72"/>
      <x:c r="W183" s="72"/>
    </x:row>
    <x:row r="184">
      <x:c r="A184" s="72"/>
      <x:c r="B184" s="72"/>
      <x:c r="C184" s="72"/>
      <x:c r="D184" s="72"/>
      <x:c r="E184" s="72"/>
      <x:c r="F184" s="72"/>
      <x:c r="G184" s="73"/>
      <x:c r="H184" s="71"/>
      <x:c r="I184" s="71"/>
      <x:c r="J184" s="72"/>
      <x:c r="K184" s="71"/>
      <x:c r="L184" s="72"/>
      <x:c r="M184" s="72"/>
      <x:c r="N184" s="72"/>
      <x:c r="O184" s="71"/>
      <x:c r="P184" s="71"/>
      <x:c r="Q184" s="73"/>
      <x:c r="R184" s="72"/>
      <x:c r="S184" s="72"/>
      <x:c r="T184" s="73"/>
      <x:c r="U184" s="72"/>
      <x:c r="V184" s="72"/>
      <x:c r="W184" s="72"/>
    </x:row>
    <x:row r="185">
      <x:c r="A185" s="72"/>
      <x:c r="B185" s="72"/>
      <x:c r="C185" s="72"/>
      <x:c r="D185" s="72"/>
      <x:c r="E185" s="72"/>
      <x:c r="F185" s="72"/>
      <x:c r="G185" s="73"/>
      <x:c r="H185" s="71"/>
      <x:c r="I185" s="71"/>
      <x:c r="J185" s="72"/>
      <x:c r="K185" s="71"/>
      <x:c r="L185" s="72"/>
      <x:c r="M185" s="72"/>
      <x:c r="N185" s="72"/>
      <x:c r="O185" s="71"/>
      <x:c r="P185" s="71"/>
      <x:c r="Q185" s="73"/>
      <x:c r="R185" s="72"/>
      <x:c r="S185" s="72"/>
      <x:c r="T185" s="73"/>
      <x:c r="U185" s="72"/>
      <x:c r="V185" s="72"/>
      <x:c r="W185" s="72"/>
    </x:row>
    <x:row r="186">
      <x:c r="A186" s="72"/>
      <x:c r="B186" s="72"/>
      <x:c r="C186" s="72"/>
      <x:c r="D186" s="72"/>
      <x:c r="E186" s="72"/>
      <x:c r="F186" s="72"/>
      <x:c r="G186" s="73"/>
      <x:c r="H186" s="71"/>
      <x:c r="I186" s="71"/>
      <x:c r="J186" s="72"/>
      <x:c r="K186" s="71"/>
      <x:c r="L186" s="72"/>
      <x:c r="M186" s="72"/>
      <x:c r="N186" s="72"/>
      <x:c r="O186" s="71"/>
      <x:c r="P186" s="71"/>
      <x:c r="Q186" s="73"/>
      <x:c r="R186" s="72"/>
      <x:c r="S186" s="72"/>
      <x:c r="T186" s="73"/>
      <x:c r="U186" s="72"/>
      <x:c r="V186" s="72"/>
      <x:c r="W186" s="72"/>
    </x:row>
    <x:row r="187">
      <x:c r="A187" s="72"/>
      <x:c r="B187" s="72"/>
      <x:c r="C187" s="72"/>
      <x:c r="D187" s="72"/>
      <x:c r="E187" s="72"/>
      <x:c r="F187" s="72"/>
      <x:c r="G187" s="73"/>
      <x:c r="H187" s="71"/>
      <x:c r="I187" s="71"/>
      <x:c r="J187" s="72"/>
      <x:c r="K187" s="71"/>
      <x:c r="L187" s="72"/>
      <x:c r="M187" s="72"/>
      <x:c r="N187" s="72"/>
      <x:c r="O187" s="71"/>
      <x:c r="P187" s="71"/>
      <x:c r="Q187" s="73"/>
      <x:c r="R187" s="72"/>
      <x:c r="S187" s="72"/>
      <x:c r="T187" s="73"/>
      <x:c r="U187" s="72"/>
      <x:c r="V187" s="72"/>
      <x:c r="W187" s="72"/>
    </x:row>
    <x:row r="188">
      <x:c r="A188" s="72"/>
      <x:c r="B188" s="72"/>
      <x:c r="C188" s="72"/>
      <x:c r="D188" s="72"/>
      <x:c r="E188" s="72"/>
      <x:c r="F188" s="72"/>
      <x:c r="G188" s="73"/>
      <x:c r="H188" s="71"/>
      <x:c r="I188" s="71"/>
      <x:c r="J188" s="72"/>
      <x:c r="K188" s="71"/>
      <x:c r="L188" s="72"/>
      <x:c r="M188" s="72"/>
      <x:c r="N188" s="72"/>
      <x:c r="O188" s="71"/>
      <x:c r="P188" s="71"/>
      <x:c r="Q188" s="73"/>
      <x:c r="R188" s="72"/>
      <x:c r="S188" s="72"/>
      <x:c r="T188" s="73"/>
      <x:c r="U188" s="72"/>
      <x:c r="V188" s="72"/>
      <x:c r="W188" s="72"/>
    </x:row>
    <x:row r="189">
      <x:c r="A189" s="72"/>
      <x:c r="B189" s="72"/>
      <x:c r="C189" s="72"/>
      <x:c r="D189" s="72"/>
      <x:c r="E189" s="72"/>
      <x:c r="F189" s="72"/>
      <x:c r="G189" s="73"/>
      <x:c r="H189" s="71"/>
      <x:c r="I189" s="71"/>
      <x:c r="J189" s="72"/>
      <x:c r="K189" s="71"/>
      <x:c r="L189" s="72"/>
      <x:c r="M189" s="72"/>
      <x:c r="N189" s="72"/>
      <x:c r="O189" s="71"/>
      <x:c r="P189" s="71"/>
      <x:c r="Q189" s="73"/>
      <x:c r="R189" s="72"/>
      <x:c r="S189" s="72"/>
      <x:c r="T189" s="73"/>
      <x:c r="U189" s="72"/>
      <x:c r="V189" s="72"/>
      <x:c r="W189" s="72"/>
    </x:row>
    <x:row r="190">
      <x:c r="A190" s="72"/>
      <x:c r="B190" s="72"/>
      <x:c r="C190" s="72"/>
      <x:c r="D190" s="72"/>
      <x:c r="E190" s="72"/>
      <x:c r="F190" s="72"/>
      <x:c r="G190" s="73"/>
      <x:c r="H190" s="71"/>
      <x:c r="I190" s="71"/>
      <x:c r="J190" s="72"/>
      <x:c r="K190" s="71"/>
      <x:c r="L190" s="72"/>
      <x:c r="M190" s="72"/>
      <x:c r="N190" s="72"/>
      <x:c r="O190" s="71"/>
      <x:c r="P190" s="71"/>
      <x:c r="Q190" s="73"/>
      <x:c r="R190" s="72"/>
      <x:c r="S190" s="72"/>
      <x:c r="T190" s="73"/>
      <x:c r="U190" s="72"/>
      <x:c r="V190" s="72"/>
      <x:c r="W190" s="72"/>
    </x:row>
    <x:row r="191">
      <x:c r="A191" s="72"/>
      <x:c r="B191" s="72"/>
      <x:c r="C191" s="72"/>
      <x:c r="D191" s="72"/>
      <x:c r="E191" s="72"/>
      <x:c r="F191" s="72"/>
      <x:c r="G191" s="73"/>
      <x:c r="H191" s="71"/>
      <x:c r="I191" s="71"/>
      <x:c r="J191" s="72"/>
      <x:c r="K191" s="71"/>
      <x:c r="L191" s="72"/>
      <x:c r="M191" s="72"/>
      <x:c r="N191" s="72"/>
      <x:c r="O191" s="71"/>
      <x:c r="P191" s="71"/>
      <x:c r="Q191" s="73"/>
      <x:c r="R191" s="72"/>
      <x:c r="S191" s="72"/>
      <x:c r="T191" s="73"/>
      <x:c r="U191" s="72"/>
      <x:c r="V191" s="72"/>
      <x:c r="W191" s="72"/>
    </x:row>
    <x:row r="192">
      <x:c r="A192" s="72"/>
      <x:c r="B192" s="72"/>
      <x:c r="C192" s="72"/>
      <x:c r="D192" s="72"/>
      <x:c r="E192" s="72"/>
      <x:c r="F192" s="72"/>
      <x:c r="G192" s="73"/>
      <x:c r="H192" s="71"/>
      <x:c r="I192" s="71"/>
      <x:c r="J192" s="72"/>
      <x:c r="K192" s="71"/>
      <x:c r="L192" s="72"/>
      <x:c r="M192" s="72"/>
      <x:c r="N192" s="72"/>
      <x:c r="O192" s="71"/>
      <x:c r="P192" s="71"/>
      <x:c r="Q192" s="73"/>
      <x:c r="R192" s="72"/>
      <x:c r="S192" s="72"/>
      <x:c r="T192" s="73"/>
      <x:c r="U192" s="72"/>
      <x:c r="V192" s="72"/>
      <x:c r="W192" s="72"/>
    </x:row>
    <x:row r="193">
      <x:c r="A193" s="72"/>
      <x:c r="B193" s="72"/>
      <x:c r="C193" s="72"/>
      <x:c r="D193" s="72"/>
      <x:c r="E193" s="72"/>
      <x:c r="F193" s="72"/>
      <x:c r="G193" s="73"/>
      <x:c r="H193" s="71"/>
      <x:c r="I193" s="71"/>
      <x:c r="J193" s="72"/>
      <x:c r="K193" s="71"/>
      <x:c r="L193" s="72"/>
      <x:c r="M193" s="72"/>
      <x:c r="N193" s="72"/>
      <x:c r="O193" s="71"/>
      <x:c r="P193" s="71"/>
      <x:c r="Q193" s="73"/>
      <x:c r="R193" s="72"/>
      <x:c r="S193" s="72"/>
      <x:c r="T193" s="73"/>
      <x:c r="U193" s="72"/>
      <x:c r="V193" s="72"/>
      <x:c r="W193" s="72"/>
    </x:row>
    <x:row r="194">
      <x:c r="A194" s="72"/>
      <x:c r="B194" s="72"/>
      <x:c r="C194" s="72"/>
      <x:c r="D194" s="72"/>
      <x:c r="E194" s="72"/>
      <x:c r="F194" s="72"/>
      <x:c r="G194" s="73"/>
      <x:c r="H194" s="71"/>
      <x:c r="I194" s="71"/>
      <x:c r="J194" s="72"/>
      <x:c r="K194" s="71"/>
      <x:c r="L194" s="72"/>
      <x:c r="M194" s="72"/>
      <x:c r="N194" s="72"/>
      <x:c r="O194" s="71"/>
      <x:c r="P194" s="71"/>
      <x:c r="Q194" s="73"/>
      <x:c r="R194" s="72"/>
      <x:c r="S194" s="72"/>
      <x:c r="T194" s="73"/>
      <x:c r="U194" s="72"/>
      <x:c r="V194" s="72"/>
      <x:c r="W194" s="72"/>
    </x:row>
    <x:row r="195">
      <x:c r="A195" s="72"/>
      <x:c r="B195" s="72"/>
      <x:c r="C195" s="72"/>
      <x:c r="D195" s="72"/>
      <x:c r="E195" s="72"/>
      <x:c r="F195" s="72"/>
      <x:c r="G195" s="73"/>
      <x:c r="H195" s="71"/>
      <x:c r="I195" s="71"/>
      <x:c r="J195" s="72"/>
      <x:c r="K195" s="71"/>
      <x:c r="L195" s="72"/>
      <x:c r="M195" s="72"/>
      <x:c r="N195" s="72"/>
      <x:c r="O195" s="71"/>
      <x:c r="P195" s="71"/>
      <x:c r="Q195" s="73"/>
      <x:c r="R195" s="72"/>
      <x:c r="S195" s="72"/>
      <x:c r="T195" s="73"/>
      <x:c r="U195" s="72"/>
      <x:c r="V195" s="72"/>
      <x:c r="W195" s="72"/>
    </x:row>
    <x:row r="196">
      <x:c r="A196" s="72"/>
      <x:c r="B196" s="72"/>
      <x:c r="C196" s="72"/>
      <x:c r="D196" s="72"/>
      <x:c r="E196" s="72"/>
      <x:c r="F196" s="72"/>
      <x:c r="G196" s="73"/>
      <x:c r="H196" s="71"/>
      <x:c r="I196" s="71"/>
      <x:c r="J196" s="72"/>
      <x:c r="K196" s="71"/>
      <x:c r="L196" s="72"/>
      <x:c r="M196" s="72"/>
      <x:c r="N196" s="72"/>
      <x:c r="O196" s="71"/>
      <x:c r="P196" s="71"/>
      <x:c r="Q196" s="73"/>
      <x:c r="R196" s="72"/>
      <x:c r="S196" s="72"/>
      <x:c r="T196" s="73"/>
      <x:c r="U196" s="72"/>
      <x:c r="V196" s="72"/>
      <x:c r="W196" s="72"/>
    </x:row>
    <x:row r="197">
      <x:c r="A197" s="72"/>
      <x:c r="B197" s="72"/>
      <x:c r="C197" s="72"/>
      <x:c r="D197" s="72"/>
      <x:c r="E197" s="72"/>
      <x:c r="F197" s="72"/>
      <x:c r="G197" s="73"/>
      <x:c r="H197" s="71"/>
      <x:c r="I197" s="71"/>
      <x:c r="J197" s="72"/>
      <x:c r="K197" s="71"/>
      <x:c r="L197" s="72"/>
      <x:c r="M197" s="72"/>
      <x:c r="N197" s="72"/>
      <x:c r="O197" s="71"/>
      <x:c r="P197" s="71"/>
      <x:c r="Q197" s="73"/>
      <x:c r="R197" s="72"/>
      <x:c r="S197" s="72"/>
      <x:c r="T197" s="73"/>
      <x:c r="U197" s="72"/>
      <x:c r="V197" s="72"/>
      <x:c r="W197" s="72"/>
    </x:row>
    <x:row r="198">
      <x:c r="A198" s="72"/>
      <x:c r="B198" s="72"/>
      <x:c r="C198" s="72"/>
      <x:c r="D198" s="72"/>
      <x:c r="E198" s="72"/>
      <x:c r="F198" s="72"/>
      <x:c r="G198" s="73"/>
      <x:c r="H198" s="71"/>
      <x:c r="I198" s="71"/>
      <x:c r="J198" s="72"/>
      <x:c r="K198" s="71"/>
      <x:c r="L198" s="72"/>
      <x:c r="M198" s="72"/>
      <x:c r="N198" s="72"/>
      <x:c r="O198" s="71"/>
      <x:c r="P198" s="71"/>
      <x:c r="Q198" s="73"/>
      <x:c r="R198" s="72"/>
      <x:c r="S198" s="72"/>
      <x:c r="T198" s="73"/>
      <x:c r="U198" s="72"/>
      <x:c r="V198" s="72"/>
      <x:c r="W198" s="72"/>
    </x:row>
    <x:row r="199">
      <x:c r="A199" s="72"/>
      <x:c r="B199" s="72"/>
      <x:c r="C199" s="72"/>
      <x:c r="D199" s="72"/>
      <x:c r="E199" s="72"/>
      <x:c r="F199" s="72"/>
      <x:c r="G199" s="73"/>
      <x:c r="H199" s="71"/>
      <x:c r="I199" s="71"/>
      <x:c r="J199" s="72"/>
      <x:c r="K199" s="71"/>
      <x:c r="L199" s="72"/>
      <x:c r="M199" s="72"/>
      <x:c r="N199" s="72"/>
      <x:c r="O199" s="71"/>
      <x:c r="P199" s="71"/>
      <x:c r="Q199" s="73"/>
      <x:c r="R199" s="72"/>
      <x:c r="S199" s="72"/>
      <x:c r="T199" s="73"/>
      <x:c r="U199" s="72"/>
      <x:c r="V199" s="72"/>
      <x:c r="W199" s="72"/>
    </x:row>
    <x:row r="200">
      <x:c r="A200" s="72"/>
      <x:c r="B200" s="72"/>
      <x:c r="C200" s="72"/>
      <x:c r="D200" s="72"/>
      <x:c r="E200" s="72"/>
      <x:c r="F200" s="72"/>
      <x:c r="G200" s="73"/>
      <x:c r="H200" s="71"/>
      <x:c r="I200" s="71"/>
      <x:c r="J200" s="72"/>
      <x:c r="K200" s="71"/>
      <x:c r="L200" s="72"/>
      <x:c r="M200" s="72"/>
      <x:c r="N200" s="72"/>
      <x:c r="O200" s="71"/>
      <x:c r="P200" s="71"/>
      <x:c r="Q200" s="73"/>
      <x:c r="R200" s="72"/>
      <x:c r="S200" s="72"/>
      <x:c r="T200" s="73"/>
      <x:c r="U200" s="72"/>
      <x:c r="V200" s="72"/>
      <x:c r="W200" s="72"/>
    </x:row>
  </x:sheetData>
  <x:mergeCells>
    <x:mergeCell ref="A1:W1"/>
  </x:mergeCells>
  <x:conditionalFormatting sqref="N4:N200">
    <x:cfRule type="containsText" dxfId="1" priority="1" operator="containsText" text="보류"/>
  </x:conditionalFormatting>
  <x:conditionalFormatting sqref="U4:U200">
    <x:cfRule type="containsText" dxfId="2" priority="2" operator="containsText" text="불일치"/>
  </x:conditionalFormatting>
  <x:dataValidations count="4">
    <x:dataValidation type="list" sqref="N4:N200">
      <x:formula1>"대기,준비중,완료,보류"</x:formula1>
    </x:dataValidation>
    <x:dataValidation type="list" sqref="R4:R200">
      <x:formula1>"미검수,정상,이상"</x:formula1>
    </x:dataValidation>
    <x:dataValidation type="list" sqref="U4:U200">
      <x:formula1>"대기,일치,불일치,보류"</x:formula1>
    </x:dataValidation>
    <x:dataValidation type="list" sqref="V4:V200">
      <x:formula1>"대기,지급완료,지급보류"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14" hidden="0" customWidth="1"/>
    <x:col min="5" max="5" width="18" hidden="0" customWidth="1"/>
    <x:col min="6" max="6" width="14" hidden="0" customWidth="1"/>
    <x:col min="7" max="7" width="24" hidden="0" customWidth="1"/>
    <x:col min="8" max="8" width="4" hidden="0" customWidth="1"/>
    <x:col min="9" max="9" width="18" hidden="0" customWidth="1"/>
    <x:col min="10" max="10" width="14" hidden="0" customWidth="1"/>
    <x:col min="11" max="11" width="22" hidden="0" customWidth="1"/>
    <x:col min="12" max="12" width="4" hidden="0" customWidth="1"/>
  </x:cols>
  <x:sheetData>
    <x:row r="1" ht="30" customHeight="1">
      <x:c r="A1" s="93" t="str">
        <x:v>SCM 발주·입고 운영 Dashboard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</x:row>
    <x:row r="3">
      <x:c r="A3" s="66" t="str">
        <x:v>핵심 KPI</x:v>
      </x:c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</x:row>
    <x:row r="4">
      <x:c r="A4" s="86" t="str">
        <x:v>KPI</x:v>
      </x:c>
      <x:c r="B4" s="87" t="str">
        <x:v>값</x:v>
      </x:c>
      <x:c r="C4" s="88" t="str">
        <x:v>설명</x:v>
      </x:c>
      <x:c r="D4" s="89"/>
      <x:c r="E4" s="86" t="str">
        <x:v>KPI</x:v>
      </x:c>
      <x:c r="F4" s="87" t="str">
        <x:v>값</x:v>
      </x:c>
      <x:c r="G4" s="88" t="str">
        <x:v>설명</x:v>
      </x:c>
      <x:c r="H4" s="89"/>
      <x:c r="I4" s="86" t="str">
        <x:v>KPI</x:v>
      </x:c>
      <x:c r="J4" s="87" t="str">
        <x:v>값</x:v>
      </x:c>
      <x:c r="K4" s="88" t="str">
        <x:v>설명</x:v>
      </x:c>
      <x:c r="L4" s="63"/>
    </x:row>
    <x:row r="5">
      <x:c r="A5" s="90" t="str">
        <x:v>총 발주금액</x:v>
      </x:c>
      <x:c r="B5" s="91" t="n">
        <x:f>'Report_Approval'!D10</x:f>
        <x:v>93500000</x:v>
      </x:c>
      <x:c r="C5" s="92" t="str">
        <x:v>기기+옵션/부품/소모품</x:v>
      </x:c>
      <x:c r="D5" s="63"/>
      <x:c r="E5" s="90" t="str">
        <x:v>총 발주수량</x:v>
      </x:c>
      <x:c r="F5" s="91" t="n">
        <x:f>'Report_Approval'!D9</x:f>
        <x:v>270</x:v>
      </x:c>
      <x:c r="G5" s="92" t="str">
        <x:v>기기+옵션 수량</x:v>
      </x:c>
      <x:c r="H5" s="63"/>
      <x:c r="I5" s="90" t="str">
        <x:v>Flex Rule 초과</x:v>
      </x:c>
      <x:c r="J5" s="91" t="n">
        <x:f>COUNTIF('Calc_Device'!$P$4:$P$200,"Rule초과")+COUNTIF('Calc_Device'!$Q$4:$Q$200,"Rule초과")</x:f>
        <x:v>6</x:v>
      </x:c>
      <x:c r="K5" s="92" t="str">
        <x:v>초과 행 수</x:v>
      </x:c>
      <x:c r="L5" s="63"/>
    </x:row>
    <x:row r="6">
      <x:c r="A6" s="63"/>
      <x:c r="B6" s="63"/>
      <x:c r="C6" s="63"/>
      <x:c r="D6" s="63"/>
      <x:c r="E6" s="63"/>
      <x:c r="F6" s="63"/>
      <x:c r="G6" s="63"/>
      <x:c r="H6" s="63"/>
      <x:c r="I6" s="63"/>
      <x:c r="J6" s="63"/>
      <x:c r="K6" s="63"/>
      <x:c r="L6" s="63"/>
    </x:row>
    <x:row r="7">
      <x:c r="A7" s="63"/>
      <x:c r="B7" s="63"/>
      <x:c r="C7" s="63"/>
      <x:c r="D7" s="63"/>
      <x:c r="E7" s="63"/>
      <x:c r="F7" s="63"/>
      <x:c r="G7" s="63"/>
      <x:c r="H7" s="63"/>
      <x:c r="I7" s="63"/>
      <x:c r="J7" s="63"/>
      <x:c r="K7" s="63"/>
      <x:c r="L7" s="63"/>
    </x:row>
    <x:row r="8">
      <x:c r="A8" s="66" t="str">
        <x:v>리스크 요약</x:v>
      </x:c>
      <x:c r="B8" s="66"/>
      <x:c r="C8" s="66"/>
      <x:c r="D8" s="66"/>
      <x:c r="E8" s="66"/>
      <x:c r="F8" s="66"/>
      <x:c r="G8" s="63"/>
      <x:c r="H8" s="63"/>
      <x:c r="I8" s="63"/>
      <x:c r="J8" s="63"/>
      <x:c r="K8" s="63"/>
      <x:c r="L8" s="63"/>
    </x:row>
    <x:row r="9">
      <x:c r="A9" s="67" t="str">
        <x:v>리스크</x:v>
      </x:c>
      <x:c r="B9" s="67" t="str">
        <x:v>건수</x:v>
      </x:c>
      <x:c r="C9" s="67" t="str">
        <x:v>기준</x:v>
      </x:c>
      <x:c r="D9" s="67" t="str">
        <x:v>자동확인</x:v>
      </x:c>
      <x:c r="E9" s="67" t="str">
        <x:v>조치담당</x:v>
      </x:c>
      <x:c r="F9" s="67" t="str">
        <x:v>비고</x:v>
      </x:c>
      <x:c r="G9" s="63"/>
      <x:c r="H9" s="63"/>
      <x:c r="I9" s="63"/>
      <x:c r="J9" s="63"/>
      <x:c r="K9" s="63"/>
      <x:c r="L9" s="63"/>
    </x:row>
    <x:row r="10">
      <x:c r="A10" s="68" t="str">
        <x:v>Flex Rule 초과</x:v>
      </x:c>
      <x:c r="B10" s="83" t="n">
        <x:f>COUNTIF('Calc_Device'!$P$4:$P$200,"Rule초과")+COUNTIF('Calc_Device'!$Q$4:$Q$200,"Rule초과")</x:f>
        <x:v>6</x:v>
      </x:c>
      <x:c r="C10" s="68" t="str">
        <x:v>전월 ±20% / 전전월 ±30%</x:v>
      </x:c>
      <x:c r="D10" s="68" t="str">
        <x:v>자동</x:v>
      </x:c>
      <x:c r="E10" s="68" t="str"/>
      <x:c r="F10" s="68" t="str"/>
      <x:c r="G10" s="63"/>
      <x:c r="H10" s="63"/>
      <x:c r="I10" s="63"/>
      <x:c r="J10" s="63"/>
      <x:c r="K10" s="63"/>
      <x:c r="L10" s="63"/>
    </x:row>
    <x:row r="11">
      <x:c r="A11" s="68" t="str">
        <x:v>MOQ 조정</x:v>
      </x:c>
      <x:c r="B11" s="83" t="n">
        <x:f>COUNTIF('Calc_Device'!$T$4:$T$200,"MOQ 조정")+COUNTIF('Calc_Option'!$V$4:$V$200,"MOQ 조정")</x:f>
        <x:v>4</x:v>
      </x:c>
      <x:c r="C11" s="68" t="str">
        <x:v>MOQ/발주단위 미만 필요량</x:v>
      </x:c>
      <x:c r="D11" s="68" t="str">
        <x:v>자동</x:v>
      </x:c>
      <x:c r="E11" s="68" t="str"/>
      <x:c r="F11" s="68" t="str"/>
      <x:c r="G11" s="63"/>
      <x:c r="H11" s="63"/>
      <x:c r="I11" s="63"/>
      <x:c r="J11" s="63"/>
      <x:c r="K11" s="63"/>
      <x:c r="L11" s="63"/>
    </x:row>
    <x:row r="12">
      <x:c r="A12" s="68" t="str">
        <x:v>입고 지연/보류</x:v>
      </x:c>
      <x:c r="B12" s="83" t="n">
        <x:f>COUNTIF('Inbound_PO'!$N$4:$N$200,"보류")+COUNTIF('Inbound_PO'!$R$4:$R$200,"이상")</x:f>
        <x:v>0</x:v>
      </x:c>
      <x:c r="C12" s="68" t="str">
        <x:v>통관·선적·입고 상태</x:v>
      </x:c>
      <x:c r="D12" s="68" t="str">
        <x:v>수동</x:v>
      </x:c>
      <x:c r="E12" s="68" t="str"/>
      <x:c r="F12" s="68" t="str"/>
      <x:c r="G12" s="63"/>
      <x:c r="H12" s="63"/>
      <x:c r="I12" s="63"/>
      <x:c r="J12" s="63"/>
      <x:c r="K12" s="63"/>
      <x:c r="L12" s="63"/>
    </x:row>
    <x:row r="13">
      <x:c r="A13" s="68" t="str">
        <x:v>PO Match 불일치</x:v>
      </x:c>
      <x:c r="B13" s="83" t="n">
        <x:f>COUNTIF('Inbound_PO'!$U$4:$U$200,"불일치")</x:f>
        <x:v>0</x:v>
      </x:c>
      <x:c r="C13" s="68" t="str">
        <x:v>PO·입고·Invoice 대조</x:v>
      </x:c>
      <x:c r="D13" s="68" t="str">
        <x:v>수동</x:v>
      </x:c>
      <x:c r="E13" s="68" t="str"/>
      <x:c r="F13" s="68" t="str"/>
      <x:c r="G13" s="63"/>
      <x:c r="H13" s="63"/>
      <x:c r="I13" s="63"/>
      <x:c r="J13" s="63"/>
      <x:c r="K13" s="63"/>
      <x:c r="L13" s="63"/>
    </x:row>
    <x:row r="14">
      <x:c r="A14" s="68" t="str">
        <x:v>필수 옵션 확인</x:v>
      </x:c>
      <x:c r="B14" s="83" t="n">
        <x:f>COUNTIF('Calc_Option'!$V$4:$V$200,"필수품 확인")</x:f>
        <x:v>0</x:v>
      </x:c>
      <x:c r="C14" s="68" t="str">
        <x:v>기기 출하 필수품</x:v>
      </x:c>
      <x:c r="D14" s="68" t="str">
        <x:v>자동</x:v>
      </x:c>
      <x:c r="E14" s="68" t="str"/>
      <x:c r="F14" s="68" t="str"/>
      <x:c r="G14" s="63"/>
      <x:c r="H14" s="63"/>
      <x:c r="I14" s="63"/>
      <x:c r="J14" s="63"/>
      <x:c r="K14" s="63"/>
      <x:c r="L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</x:row>
    <x:row r="16">
      <x:c r="A16" s="67" t="str">
        <x:v>구분</x:v>
      </x:c>
      <x:c r="B16" s="67" t="str">
        <x:v>발주금액</x:v>
      </x:c>
      <x:c r="C16" s="67" t="str">
        <x:v>비중</x:v>
      </x:c>
      <x:c r="D16" s="67" t="str">
        <x:v>비고</x:v>
      </x:c>
      <x:c r="E16" s="63"/>
      <x:c r="F16" s="63"/>
      <x:c r="G16" s="63"/>
      <x:c r="H16" s="63"/>
      <x:c r="I16" s="63"/>
      <x:c r="J16" s="63"/>
      <x:c r="K16" s="63"/>
      <x:c r="L16" s="63"/>
    </x:row>
    <x:row r="17">
      <x:c r="A17" s="68" t="str">
        <x:v>기기</x:v>
      </x:c>
      <x:c r="B17" s="75" t="n">
        <x:f>'Report_Approval'!B10</x:f>
        <x:v>79000000</x:v>
      </x:c>
      <x:c r="C17" s="84" t="n">
        <x:f>IFERROR(B17/SUM($B$17:$B$18),0)</x:f>
        <x:v>0.8449197860962567</x:v>
      </x:c>
      <x:c r="D17" s="68"/>
      <x:c r="E17" s="63"/>
      <x:c r="F17" s="63"/>
      <x:c r="G17" s="63"/>
      <x:c r="H17" s="63"/>
      <x:c r="I17" s="63"/>
      <x:c r="J17" s="63"/>
      <x:c r="K17" s="63"/>
      <x:c r="L17" s="63"/>
    </x:row>
    <x:row r="18">
      <x:c r="A18" s="68" t="str">
        <x:v>옵션/부품/소모품</x:v>
      </x:c>
      <x:c r="B18" s="75" t="n">
        <x:f>'Report_Approval'!C10</x:f>
        <x:v>14500000</x:v>
      </x:c>
      <x:c r="C18" s="84" t="n">
        <x:f>IFERROR(B18/SUM($B$17:$B$18),0)</x:f>
        <x:v>0.15508021390374332</x:v>
      </x:c>
      <x:c r="D18" s="68"/>
      <x:c r="E18" s="63"/>
      <x:c r="F18" s="63"/>
      <x:c r="G18" s="63"/>
      <x:c r="H18" s="63"/>
      <x:c r="I18" s="63"/>
      <x:c r="J18" s="63"/>
      <x:c r="K18" s="63"/>
      <x:c r="L18" s="63"/>
    </x:row>
  </x:sheetData>
  <x:mergeCells>
    <x:mergeCell ref="A1:L1"/>
    <x:mergeCell ref="A3:L3"/>
    <x:mergeCell ref="A8:F8"/>
  </x:mergeCells>
  <x:pageMargins left="0.7" right="0.7" top="0.75" bottom="0.75" header="0.3" footer="0.3"/>
  <x:drawing xmlns:r="http://schemas.openxmlformats.org/officeDocument/2006/relationships" r:id="R647874af2a6642a8"/>
</x:worksheet>
</file>